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17f418012c5b53d4/Documentos/Coursera Aprendizado/Portfolio Github/"/>
    </mc:Choice>
  </mc:AlternateContent>
  <xr:revisionPtr revIDLastSave="7" documentId="11_B4D91EBBBF366E341511B35CED634CED14FEAE17" xr6:coauthVersionLast="47" xr6:coauthVersionMax="47" xr10:uidLastSave="{89B59A30-3785-4C2B-954C-8693BAC1D515}"/>
  <bookViews>
    <workbookView xWindow="-120" yWindow="-120" windowWidth="38640" windowHeight="15720" tabRatio="500" xr2:uid="{00000000-000D-0000-FFFF-FFFF00000000}"/>
  </bookViews>
  <sheets>
    <sheet name="Instruções" sheetId="1" r:id="rId1"/>
    <sheet name="Escalas" sheetId="2" r:id="rId2"/>
    <sheet name="Matriz de Riscos" sheetId="3" r:id="rId3"/>
    <sheet name="Mapa de Calor" sheetId="4" r:id="rId4"/>
  </sheets>
  <definedNames>
    <definedName name="_xlnm._FilterDatabase" localSheetId="2" hidden="1">'Matriz de Riscos'!$A$1:$R$21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1" i="4" l="1"/>
  <c r="F21" i="4"/>
  <c r="E21" i="4"/>
  <c r="D21" i="4"/>
  <c r="C21" i="4"/>
  <c r="G20" i="4"/>
  <c r="F20" i="4"/>
  <c r="E20" i="4"/>
  <c r="D20" i="4"/>
  <c r="C20" i="4"/>
  <c r="G19" i="4"/>
  <c r="F19" i="4"/>
  <c r="E19" i="4"/>
  <c r="D19" i="4"/>
  <c r="C19" i="4"/>
  <c r="G18" i="4"/>
  <c r="F18" i="4"/>
  <c r="E18" i="4"/>
  <c r="D18" i="4"/>
  <c r="C18" i="4"/>
  <c r="G17" i="4"/>
  <c r="F17" i="4"/>
  <c r="E17" i="4"/>
  <c r="D17" i="4"/>
  <c r="C17" i="4"/>
  <c r="G9" i="4"/>
  <c r="F9" i="4"/>
  <c r="E9" i="4"/>
  <c r="D9" i="4"/>
  <c r="C9" i="4"/>
  <c r="G8" i="4"/>
  <c r="F8" i="4"/>
  <c r="E8" i="4"/>
  <c r="D8" i="4"/>
  <c r="C8" i="4"/>
  <c r="G7" i="4"/>
  <c r="F7" i="4"/>
  <c r="E7" i="4"/>
  <c r="D7" i="4"/>
  <c r="C7" i="4"/>
  <c r="G6" i="4"/>
  <c r="F6" i="4"/>
  <c r="E6" i="4"/>
  <c r="D6" i="4"/>
  <c r="C6" i="4"/>
  <c r="G5" i="4"/>
  <c r="F5" i="4"/>
  <c r="E5" i="4"/>
  <c r="D5" i="4"/>
  <c r="C5" i="4"/>
  <c r="P21" i="3"/>
  <c r="Q21" i="3" s="1"/>
  <c r="G21" i="3"/>
  <c r="H21" i="3" s="1"/>
  <c r="P20" i="3"/>
  <c r="Q20" i="3" s="1"/>
  <c r="G20" i="3"/>
  <c r="H20" i="3" s="1"/>
  <c r="P19" i="3"/>
  <c r="Q19" i="3" s="1"/>
  <c r="G19" i="3"/>
  <c r="H19" i="3" s="1"/>
  <c r="P18" i="3"/>
  <c r="Q18" i="3" s="1"/>
  <c r="G18" i="3"/>
  <c r="H18" i="3" s="1"/>
  <c r="P17" i="3"/>
  <c r="Q17" i="3" s="1"/>
  <c r="G17" i="3"/>
  <c r="H17" i="3" s="1"/>
  <c r="P16" i="3"/>
  <c r="Q16" i="3" s="1"/>
  <c r="G16" i="3"/>
  <c r="H16" i="3" s="1"/>
  <c r="P15" i="3"/>
  <c r="Q15" i="3" s="1"/>
  <c r="G15" i="3"/>
  <c r="H15" i="3" s="1"/>
  <c r="P14" i="3"/>
  <c r="Q14" i="3" s="1"/>
  <c r="G14" i="3"/>
  <c r="H14" i="3" s="1"/>
  <c r="P13" i="3"/>
  <c r="Q13" i="3" s="1"/>
  <c r="G13" i="3"/>
  <c r="H13" i="3" s="1"/>
  <c r="P12" i="3"/>
  <c r="Q12" i="3" s="1"/>
  <c r="G12" i="3"/>
  <c r="H12" i="3" s="1"/>
  <c r="P11" i="3"/>
  <c r="Q11" i="3" s="1"/>
  <c r="G11" i="3"/>
  <c r="H11" i="3" s="1"/>
  <c r="P10" i="3"/>
  <c r="Q10" i="3" s="1"/>
  <c r="G10" i="3"/>
  <c r="H10" i="3" s="1"/>
  <c r="P9" i="3"/>
  <c r="Q9" i="3" s="1"/>
  <c r="G9" i="3"/>
  <c r="H9" i="3" s="1"/>
  <c r="P8" i="3"/>
  <c r="Q8" i="3" s="1"/>
  <c r="G8" i="3"/>
  <c r="H8" i="3" s="1"/>
  <c r="P7" i="3"/>
  <c r="Q7" i="3" s="1"/>
  <c r="G7" i="3"/>
  <c r="H7" i="3" s="1"/>
  <c r="P6" i="3"/>
  <c r="Q6" i="3" s="1"/>
  <c r="G6" i="3"/>
  <c r="H6" i="3" s="1"/>
  <c r="P5" i="3"/>
  <c r="Q5" i="3" s="1"/>
  <c r="G5" i="3"/>
  <c r="H5" i="3" s="1"/>
  <c r="P4" i="3"/>
  <c r="Q4" i="3" s="1"/>
  <c r="G4" i="3"/>
  <c r="H4" i="3" s="1"/>
  <c r="P3" i="3"/>
  <c r="Q3" i="3" s="1"/>
  <c r="G3" i="3"/>
  <c r="H3" i="3" s="1"/>
  <c r="P2" i="3"/>
  <c r="Q2" i="3" s="1"/>
  <c r="G2" i="3"/>
  <c r="H2" i="3" s="1"/>
  <c r="C29" i="4" l="1"/>
  <c r="C28" i="4"/>
  <c r="C27" i="4"/>
  <c r="C26" i="4"/>
  <c r="C30" i="4" s="1"/>
  <c r="B29" i="4"/>
  <c r="B28" i="4"/>
  <c r="B27" i="4"/>
  <c r="B26" i="4"/>
  <c r="B30" i="4" s="1"/>
</calcChain>
</file>

<file path=xl/sharedStrings.xml><?xml version="1.0" encoding="utf-8"?>
<sst xmlns="http://schemas.openxmlformats.org/spreadsheetml/2006/main" count="231" uniqueCount="181">
  <si>
    <t>Matriz de Riscos de TI – Flor de Ipê Cosméticos (empresa fictícia)</t>
  </si>
  <si>
    <t>Projeto de portfólio em cenário simulado. Referências: ISO 31000, ISO/IEC 27005 e NIST SP 800-30.</t>
  </si>
  <si>
    <t>Como ler esta planilha</t>
  </si>
  <si>
    <t>1. A aba 'Escalas' explica as notas de probabilidade (chance de acontecer) e de impacto (tamanho do estrago), de 1 a 5.</t>
  </si>
  <si>
    <t>2. A aba 'Matriz de Riscos' lista os 10 riscos analisados. O nível é a multiplicação Probabilidade × Impacto.</t>
  </si>
  <si>
    <t>3. Cada risco tem um tratamento, uma ação, um responsável e um prazo.</t>
  </si>
  <si>
    <t>4. As colunas 'residuais' mostram como o risco deve ficar DEPOIS que a ação for feita.</t>
  </si>
  <si>
    <t>5. A aba 'Mapa de Calor' mostra quantos riscos estão em cada posição, antes e depois do tratamento.</t>
  </si>
  <si>
    <t>Legenda de cores</t>
  </si>
  <si>
    <t>Probabilidade – qual a chance de acontecer?</t>
  </si>
  <si>
    <t>Nota</t>
  </si>
  <si>
    <t>Nível</t>
  </si>
  <si>
    <t>Descrição</t>
  </si>
  <si>
    <t>Rara</t>
  </si>
  <si>
    <t>Só aconteceria em situações excepcionais (menos de uma vez a cada 5 anos).</t>
  </si>
  <si>
    <t>Improvável</t>
  </si>
  <si>
    <t>Pouco provável, mas possível (uma vez a cada 2 a 5 anos).</t>
  </si>
  <si>
    <t>Possível</t>
  </si>
  <si>
    <t>Pode acontecer de vez em quando (cerca de uma vez por ano).</t>
  </si>
  <si>
    <t>Provável</t>
  </si>
  <si>
    <t>Deve acontecer algumas vezes por ano.</t>
  </si>
  <si>
    <t>Quase certa</t>
  </si>
  <si>
    <t>Acontece com frequência (todo mês ou mais) ou já está acontecendo.</t>
  </si>
  <si>
    <t>Impacto – qual o tamanho do estrago?</t>
  </si>
  <si>
    <t>Descrição (financeiro, operacional, legal e reputação)</t>
  </si>
  <si>
    <t>Insignificante</t>
  </si>
  <si>
    <t>Quase não afeta a operação; perda financeira desprezível.</t>
  </si>
  <si>
    <t>Menor</t>
  </si>
  <si>
    <t>Interrupção curta de um serviço não crítico; pequena perda financeira.</t>
  </si>
  <si>
    <t>Moderado</t>
  </si>
  <si>
    <t>Serviço importante parado por algumas horas; exposição limitada de dados; reclamações de clientes.</t>
  </si>
  <si>
    <t>Maior</t>
  </si>
  <si>
    <t>Sistema crítico parado por dias; vazamento de dados pessoais; possível multa.</t>
  </si>
  <si>
    <t>Catastrófico</t>
  </si>
  <si>
    <t>Negócio parado por muito tempo; vazamento grande de dados; sanções da ANPD e dano sério à imagem da marca.</t>
  </si>
  <si>
    <t>Nível de risco = Probabilidade × Impacto</t>
  </si>
  <si>
    <t>Faixa</t>
  </si>
  <si>
    <t>Classificação</t>
  </si>
  <si>
    <t>O que fazer</t>
  </si>
  <si>
    <t>1 a 4</t>
  </si>
  <si>
    <t>Baixo</t>
  </si>
  <si>
    <t>Acompanhar; normalmente pode ser aceito.</t>
  </si>
  <si>
    <t>5 a 9</t>
  </si>
  <si>
    <t>Médio</t>
  </si>
  <si>
    <t>Tratar dentro do planejamento normal, com um responsável.</t>
  </si>
  <si>
    <t>10 a 16</t>
  </si>
  <si>
    <t>Alto</t>
  </si>
  <si>
    <t>Tratar com prioridade e acompanhamento da gestão.</t>
  </si>
  <si>
    <t>20 a 25</t>
  </si>
  <si>
    <t>Crítico</t>
  </si>
  <si>
    <t>Agir imediatamente e reportar à diretoria.</t>
  </si>
  <si>
    <t>Opções de tratamento</t>
  </si>
  <si>
    <t>Tratamento</t>
  </si>
  <si>
    <t>Quando usar</t>
  </si>
  <si>
    <t>Mitigar</t>
  </si>
  <si>
    <t>Colocar controles para diminuir a chance ou o estrago.</t>
  </si>
  <si>
    <t>Aceitar</t>
  </si>
  <si>
    <t>O risco é pequeno ou tratar custaria mais do que o próprio risco.</t>
  </si>
  <si>
    <t>Transferir</t>
  </si>
  <si>
    <t>Passar parte do risco para outra empresa (seguro, fornecedor, contrato).</t>
  </si>
  <si>
    <t>Evitar</t>
  </si>
  <si>
    <t>Deixar de fazer a atividade que gera o risco.</t>
  </si>
  <si>
    <t>ID</t>
  </si>
  <si>
    <t>Risco (causa → evento → consequência)</t>
  </si>
  <si>
    <t>Ativo afetado</t>
  </si>
  <si>
    <t>Categoria</t>
  </si>
  <si>
    <t>Probabilidade (1-5)</t>
  </si>
  <si>
    <t>Impacto (1-5)</t>
  </si>
  <si>
    <t>Nível (P×I)</t>
  </si>
  <si>
    <t>Controles existentes</t>
  </si>
  <si>
    <t>Ação proposta</t>
  </si>
  <si>
    <t>Responsável</t>
  </si>
  <si>
    <t>Prazo</t>
  </si>
  <si>
    <t>Prob. residual (1-5)</t>
  </si>
  <si>
    <t>Impacto residual (1-5)</t>
  </si>
  <si>
    <t>Nível residual</t>
  </si>
  <si>
    <t>Classificação residual</t>
  </si>
  <si>
    <t>Status</t>
  </si>
  <si>
    <t>R01</t>
  </si>
  <si>
    <t>Como o e-mail não exige verificação em duas etapas (MFA), um funcionário que caia em um golpe de phishing pode ter a senha roubada. Com ela, o golpista entra no e-mail da empresa e acessa pedidos e dados de clientes.</t>
  </si>
  <si>
    <t>E-mail corporativo (Microsoft 365)</t>
  </si>
  <si>
    <t>Tecnologia</t>
  </si>
  <si>
    <t>Antivírus; filtro de spam do Microsoft 365</t>
  </si>
  <si>
    <t>Ativar MFA para todos os usuários e fazer treinamento de phishing a cada semestre</t>
  </si>
  <si>
    <t>Coordenação de TI</t>
  </si>
  <si>
    <t>30 dias</t>
  </si>
  <si>
    <t>Em andamento</t>
  </si>
  <si>
    <t>R02</t>
  </si>
  <si>
    <t>Como os backups ficam no mesmo servidor e algumas máquinas estão sem atualização, um ransomware pode criptografar o ERP e os backups ao mesmo tempo, parando vendas e faturamento por dias.</t>
  </si>
  <si>
    <t>Servidor do ERP e backups</t>
  </si>
  <si>
    <t>Antivírus; backup diário no próprio servidor</t>
  </si>
  <si>
    <t>Adotar backup 3-2-1 (uma cópia fora da empresa e offline), testar a restauração todo mês e criar rotina mensal de atualizações</t>
  </si>
  <si>
    <t>60 dias</t>
  </si>
  <si>
    <t>Não iniciado</t>
  </si>
  <si>
    <t>R03</t>
  </si>
  <si>
    <t>Como todos os atendentes usam o mesmo perfil no ERP e no CRM, qualquer pessoa consegue ver e exportar a base completa de clientes, mesmo sem precisar disso para o trabalho.</t>
  </si>
  <si>
    <t>ERP e CRM</t>
  </si>
  <si>
    <t>Processos</t>
  </si>
  <si>
    <t>Login individual para cada funcionário</t>
  </si>
  <si>
    <t>Criar perfis de acesso por função (menor privilégio) e revisar os acessos a cada 3 meses</t>
  </si>
  <si>
    <t>Coordenação de TI + Gestores de área</t>
  </si>
  <si>
    <t>R04</t>
  </si>
  <si>
    <t>Como não existe um mapeamento de dados pessoais e as planilhas de clientes circulam por e-mail e WhatsApp, um vazamento pode expor dados de cerca de 25 mil clientes, gerando sanções da ANPD (LGPD) e perda de confiança na marca.</t>
  </si>
  <si>
    <t>Base de clientes (dados pessoais)</t>
  </si>
  <si>
    <t>Conformidade</t>
  </si>
  <si>
    <t>Política de privacidade publicada no site</t>
  </si>
  <si>
    <t>Mapear os dados pessoais, nomear um encarregado (DPO), proibir envio de planilhas de clientes por WhatsApp e criar um plano de resposta a incidentes</t>
  </si>
  <si>
    <t>Diretoria + Jurídico + TI</t>
  </si>
  <si>
    <t>90 dias</t>
  </si>
  <si>
    <t>R05</t>
  </si>
  <si>
    <t>Como o contrato com a plataforma da loja virtual não define tempo de resposta nem garantia de disponibilidade (SLA), uma queda em datas de pico, como a Black Friday, pode causar grande perda de vendas.</t>
  </si>
  <si>
    <t>Loja virtual (plataforma terceirizada)</t>
  </si>
  <si>
    <t>Fornecedores</t>
  </si>
  <si>
    <t>Contrato padrão do fornecedor</t>
  </si>
  <si>
    <t>Renegociar o contrato com SLA e multa por indisponibilidade e montar um plano de contingência para as datas de pico</t>
  </si>
  <si>
    <t>Diretoria Comercial + TI</t>
  </si>
  <si>
    <t>R06</t>
  </si>
  <si>
    <t>Como o RH não avisa o TI de forma padronizada quando alguém sai da empresa, ex-funcionários podem continuar com acesso ao e-mail, ao ERP e às redes sociais da marca.</t>
  </si>
  <si>
    <t>Contas de usuários</t>
  </si>
  <si>
    <t>RH envia e-mail ao TI quando lembra</t>
  </si>
  <si>
    <t>Criar um checklist de desligamento entre RH e TI, com bloqueio dos acessos no último dia de trabalho</t>
  </si>
  <si>
    <t>RH + Coordenação de TI</t>
  </si>
  <si>
    <t>R07</t>
  </si>
  <si>
    <t>Como as senhas das redes sociais, do marketplace e do gateway de pagamento são fracas e compartilhadas em uma planilha, uma pessoa de fora pode invadir essas contas e aplicar golpes em nome da marca.</t>
  </si>
  <si>
    <t>Contas de redes sociais, marketplace e gateway</t>
  </si>
  <si>
    <t>Pessoas</t>
  </si>
  <si>
    <t>Nenhum</t>
  </si>
  <si>
    <t>Implantar um gerenciador de senhas corporativo, trocar todas as senhas e ativar MFA nessas contas</t>
  </si>
  <si>
    <t>Coordenação de TI + Marketing</t>
  </si>
  <si>
    <t>R08</t>
  </si>
  <si>
    <t>Como o ERP roda em um servidor antigo e sem garantia do fabricante, uma falha de hardware pode deixar a empresa sem emitir notas fiscais até a peça ser trocada.</t>
  </si>
  <si>
    <t>Servidor do ERP</t>
  </si>
  <si>
    <t>Nobreak; técnico externo chamado quando há problema</t>
  </si>
  <si>
    <t>Avaliar a migração do ERP para a nuvem ou contratar manutenção com prazo de atendimento garantido</t>
  </si>
  <si>
    <t>Coordenação de TI + Financeiro</t>
  </si>
  <si>
    <t>120 dias</t>
  </si>
  <si>
    <t>R09</t>
  </si>
  <si>
    <t>Como não existe regra para o uso de ferramentas de IA generativa, funcionários podem colar dados de clientes ou informações internas em ferramentas públicas, causando exposição de dados.</t>
  </si>
  <si>
    <t>Dados de clientes e informações internas</t>
  </si>
  <si>
    <t>Publicar uma política de uso de IA, indicar as ferramentas aprovadas e orientar as equipes</t>
  </si>
  <si>
    <t>Coordenação de TI + RH</t>
  </si>
  <si>
    <t>45 dias</t>
  </si>
  <si>
    <t>R10</t>
  </si>
  <si>
    <t>Quedas de energia curtas no escritório podem interromper o trabalho por alguns minutos. Como os equipamentos principais têm nobreak, o impacto é pequeno.</t>
  </si>
  <si>
    <t>Escritório e equipamentos</t>
  </si>
  <si>
    <t>Física</t>
  </si>
  <si>
    <t>Nobreak no servidor e no rack de rede</t>
  </si>
  <si>
    <t>Manter o nobreak e verificar as baterias uma vez por ano</t>
  </si>
  <si>
    <t>Contínuo</t>
  </si>
  <si>
    <t>Concluído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</si>
  <si>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</si>
  <si>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</si>
  <si>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</si>
  <si>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</si>
  <si>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</si>
  <si>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</si>
  <si>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</si>
  <si>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</si>
  <si>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</si>
  <si>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</si>
  <si>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Mapa de calor – antes do tratamento (risco inerente)</t>
  </si>
  <si>
    <t>Cada célula mostra quantos riscos estão naquela combinação de probabilidade e impacto.</t>
  </si>
  <si>
    <t>IMPACTO →</t>
  </si>
  <si>
    <t>1 Insignificante</t>
  </si>
  <si>
    <t>2 Menor</t>
  </si>
  <si>
    <t>3 Moderado</t>
  </si>
  <si>
    <t>4 Maior</t>
  </si>
  <si>
    <t>5 Catastrófico</t>
  </si>
  <si>
    <t>PROBABILIDADE ↓</t>
  </si>
  <si>
    <t>5 Quase certa</t>
  </si>
  <si>
    <t>4 Provável</t>
  </si>
  <si>
    <t>3 Possível</t>
  </si>
  <si>
    <t>2 Improvável</t>
  </si>
  <si>
    <t>1 Rara</t>
  </si>
  <si>
    <t>Mapa de calor – depois do tratamento (risco residual)</t>
  </si>
  <si>
    <t>Resumo por classificação</t>
  </si>
  <si>
    <t>Antes</t>
  </si>
  <si>
    <t>Depois</t>
  </si>
  <si>
    <t>Total</t>
  </si>
  <si>
    <t>Cinza = cálculo automático</t>
  </si>
  <si>
    <t>Amarelo = informação preenchida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</si>
</sst>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&quot;&quot;"/>
  </numFmts>
  <fonts count="8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sz val="10"/>
      <name val="Arial"/>
      <charset val="1"/>
    </font>
    <font>
      <b/>
      <sz val="12"/>
      <name val="Arial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b/>
      <sz val="10"/>
      <name val="Arial"/>
      <charset val="1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1F3864"/>
        <bgColor rgb="FF333333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FF2CC"/>
      </patternFill>
    </fill>
    <fill>
      <patternFill patternType="solid">
        <fgColor rgb="FFF8CBAD"/>
        <bgColor rgb="FFFFEB9C"/>
      </patternFill>
    </fill>
    <fill>
      <patternFill patternType="solid">
        <fgColor rgb="FFFF7C80"/>
        <bgColor rgb="FFFF99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/>
    <xf numFmtId="0" fontId="2" fillId="2" borderId="0" xfId="0" applyFont="1" applyFill="1"/>
    <xf numFmtId="0" fontId="2" fillId="3" borderId="0" xfId="0" applyFont="1" applyFill="1"/>
    <xf numFmtId="0" fontId="4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0" borderId="0" xfId="0" applyFont="1"/>
    <xf numFmtId="164" fontId="3" fillId="6" borderId="1" xfId="0" applyNumberFormat="1" applyFont="1" applyFill="1" applyBorder="1" applyAlignment="1">
      <alignment horizontal="center" vertical="center"/>
    </xf>
    <xf numFmtId="164" fontId="3" fillId="7" borderId="1" xfId="0" applyNumberFormat="1" applyFont="1" applyFill="1" applyBorder="1" applyAlignment="1">
      <alignment horizontal="center" vertical="center"/>
    </xf>
    <xf numFmtId="164" fontId="3" fillId="8" borderId="1" xfId="0" applyNumberFormat="1" applyFont="1" applyFill="1" applyBorder="1" applyAlignment="1">
      <alignment horizontal="center" vertical="center"/>
    </xf>
    <xf numFmtId="164" fontId="3" fillId="5" borderId="1" xfId="0" applyNumberFormat="1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8">
    <dxf>
      <font>
        <b/>
        <name val="Arial"/>
        <charset val="1"/>
      </font>
      <fill>
        <patternFill>
          <bgColor rgb="FFFF7C80"/>
        </patternFill>
      </fill>
    </dxf>
    <dxf>
      <font>
        <b/>
        <name val="Arial"/>
        <charset val="1"/>
      </font>
      <fill>
        <patternFill>
          <bgColor rgb="FFF8CBAD"/>
        </patternFill>
      </fill>
    </dxf>
    <dxf>
      <font>
        <b/>
        <name val="Arial"/>
        <charset val="1"/>
      </font>
      <fill>
        <patternFill>
          <bgColor rgb="FFFFEB9C"/>
        </patternFill>
      </fill>
    </dxf>
    <dxf>
      <font>
        <b/>
        <name val="Arial"/>
        <charset val="1"/>
      </font>
      <fill>
        <patternFill>
          <bgColor rgb="FFC6EFCE"/>
        </patternFill>
      </fill>
    </dxf>
    <dxf>
      <font>
        <b/>
        <name val="Arial"/>
        <charset val="1"/>
      </font>
      <fill>
        <patternFill>
          <bgColor rgb="FFFF7C80"/>
        </patternFill>
      </fill>
    </dxf>
    <dxf>
      <font>
        <b/>
        <name val="Arial"/>
        <charset val="1"/>
      </font>
      <fill>
        <patternFill>
          <bgColor rgb="FFF8CBAD"/>
        </patternFill>
      </fill>
    </dxf>
    <dxf>
      <font>
        <b/>
        <name val="Arial"/>
        <charset val="1"/>
      </font>
      <fill>
        <patternFill>
          <bgColor rgb="FFFFEB9C"/>
        </patternFill>
      </fill>
    </dxf>
    <dxf>
      <font>
        <b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7C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abSelected="1" zoomScaleNormal="100" workbookViewId="0">
      <selection activeCell="A26" sqref="A26"/>
    </sheetView>
  </sheetViews>
  <sheetFormatPr defaultColWidth="8.7109375" defaultRowHeight="15" x14ac:dyDescent="0.25"/>
  <cols>
    <col min="1" max="1" width="110" customWidth="1"/>
  </cols>
  <sheetData>
    <row r="1" spans="1:1" ht="18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/>
    </row>
    <row r="4" spans="1:1" ht="15.75" x14ac:dyDescent="0.25">
      <c r="A4" s="3" t="s">
        <v>2</v>
      </c>
    </row>
    <row r="5" spans="1:1" x14ac:dyDescent="0.25">
      <c r="A5" s="2" t="s">
        <v>3</v>
      </c>
    </row>
    <row r="6" spans="1:1" x14ac:dyDescent="0.25">
      <c r="A6" s="2" t="s">
        <v>4</v>
      </c>
    </row>
    <row r="7" spans="1:1" x14ac:dyDescent="0.25">
      <c r="A7" s="2" t="s">
        <v>5</v>
      </c>
    </row>
    <row r="8" spans="1:1" x14ac:dyDescent="0.25">
      <c r="A8" s="2" t="s">
        <v>6</v>
      </c>
    </row>
    <row r="9" spans="1:1" x14ac:dyDescent="0.25">
      <c r="A9" s="2" t="s">
        <v>7</v>
      </c>
    </row>
    <row r="11" spans="1:1" ht="15.75" x14ac:dyDescent="0.25">
      <c r="A11" s="4" t="s">
        <v>8</v>
      </c>
    </row>
    <row r="12" spans="1:1" x14ac:dyDescent="0.25">
      <c r="A12" s="5" t="s">
        <v>180</v>
      </c>
    </row>
    <row r="13" spans="1:1" x14ac:dyDescent="0.25">
      <c r="A13" s="6" t="s">
        <v>179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9"/>
  <sheetViews>
    <sheetView zoomScaleNormal="100" workbookViewId="0"/>
  </sheetViews>
  <sheetFormatPr defaultColWidth="8.7109375" defaultRowHeight="15" x14ac:dyDescent="0.25"/>
  <cols>
    <col min="1" max="1" width="10" customWidth="1"/>
    <col min="2" max="2" width="22" customWidth="1"/>
    <col min="3" max="3" width="85" customWidth="1"/>
  </cols>
  <sheetData>
    <row r="1" spans="1:3" ht="15.75" x14ac:dyDescent="0.25">
      <c r="A1" s="4" t="s">
        <v>9</v>
      </c>
    </row>
    <row r="2" spans="1:3" x14ac:dyDescent="0.25">
      <c r="A2" s="7" t="s">
        <v>10</v>
      </c>
      <c r="B2" s="7" t="s">
        <v>11</v>
      </c>
      <c r="C2" s="7" t="s">
        <v>12</v>
      </c>
    </row>
    <row r="3" spans="1:3" x14ac:dyDescent="0.25">
      <c r="A3" s="8">
        <v>1</v>
      </c>
      <c r="B3" s="9" t="s">
        <v>13</v>
      </c>
      <c r="C3" s="9" t="s">
        <v>14</v>
      </c>
    </row>
    <row r="4" spans="1:3" x14ac:dyDescent="0.25">
      <c r="A4" s="8">
        <v>2</v>
      </c>
      <c r="B4" s="9" t="s">
        <v>15</v>
      </c>
      <c r="C4" s="9" t="s">
        <v>16</v>
      </c>
    </row>
    <row r="5" spans="1:3" x14ac:dyDescent="0.25">
      <c r="A5" s="8">
        <v>3</v>
      </c>
      <c r="B5" s="9" t="s">
        <v>17</v>
      </c>
      <c r="C5" s="9" t="s">
        <v>18</v>
      </c>
    </row>
    <row r="6" spans="1:3" x14ac:dyDescent="0.25">
      <c r="A6" s="8">
        <v>4</v>
      </c>
      <c r="B6" s="9" t="s">
        <v>19</v>
      </c>
      <c r="C6" s="9" t="s">
        <v>20</v>
      </c>
    </row>
    <row r="7" spans="1:3" x14ac:dyDescent="0.25">
      <c r="A7" s="8">
        <v>5</v>
      </c>
      <c r="B7" s="9" t="s">
        <v>21</v>
      </c>
      <c r="C7" s="9" t="s">
        <v>22</v>
      </c>
    </row>
    <row r="9" spans="1:3" ht="15.75" x14ac:dyDescent="0.25">
      <c r="A9" s="4" t="s">
        <v>23</v>
      </c>
    </row>
    <row r="10" spans="1:3" x14ac:dyDescent="0.25">
      <c r="A10" s="7" t="s">
        <v>10</v>
      </c>
      <c r="B10" s="7" t="s">
        <v>11</v>
      </c>
      <c r="C10" s="7" t="s">
        <v>24</v>
      </c>
    </row>
    <row r="11" spans="1:3" x14ac:dyDescent="0.25">
      <c r="A11" s="8">
        <v>1</v>
      </c>
      <c r="B11" s="9" t="s">
        <v>25</v>
      </c>
      <c r="C11" s="9" t="s">
        <v>26</v>
      </c>
    </row>
    <row r="12" spans="1:3" x14ac:dyDescent="0.25">
      <c r="A12" s="8">
        <v>2</v>
      </c>
      <c r="B12" s="9" t="s">
        <v>27</v>
      </c>
      <c r="C12" s="9" t="s">
        <v>28</v>
      </c>
    </row>
    <row r="13" spans="1:3" ht="25.5" x14ac:dyDescent="0.25">
      <c r="A13" s="8">
        <v>3</v>
      </c>
      <c r="B13" s="9" t="s">
        <v>29</v>
      </c>
      <c r="C13" s="9" t="s">
        <v>30</v>
      </c>
    </row>
    <row r="14" spans="1:3" x14ac:dyDescent="0.25">
      <c r="A14" s="8">
        <v>4</v>
      </c>
      <c r="B14" s="9" t="s">
        <v>31</v>
      </c>
      <c r="C14" s="9" t="s">
        <v>32</v>
      </c>
    </row>
    <row r="15" spans="1:3" ht="25.5" x14ac:dyDescent="0.25">
      <c r="A15" s="8">
        <v>5</v>
      </c>
      <c r="B15" s="9" t="s">
        <v>33</v>
      </c>
      <c r="C15" s="9" t="s">
        <v>34</v>
      </c>
    </row>
    <row r="17" spans="1:3" ht="15.75" x14ac:dyDescent="0.25">
      <c r="A17" s="4" t="s">
        <v>35</v>
      </c>
    </row>
    <row r="18" spans="1:3" x14ac:dyDescent="0.25">
      <c r="A18" s="7" t="s">
        <v>36</v>
      </c>
      <c r="B18" s="7" t="s">
        <v>37</v>
      </c>
      <c r="C18" s="7" t="s">
        <v>38</v>
      </c>
    </row>
    <row r="19" spans="1:3" x14ac:dyDescent="0.25">
      <c r="A19" s="8" t="s">
        <v>39</v>
      </c>
      <c r="B19" s="10" t="s">
        <v>40</v>
      </c>
      <c r="C19" s="9" t="s">
        <v>41</v>
      </c>
    </row>
    <row r="20" spans="1:3" x14ac:dyDescent="0.25">
      <c r="A20" s="8" t="s">
        <v>42</v>
      </c>
      <c r="B20" s="11" t="s">
        <v>43</v>
      </c>
      <c r="C20" s="9" t="s">
        <v>44</v>
      </c>
    </row>
    <row r="21" spans="1:3" x14ac:dyDescent="0.25">
      <c r="A21" s="8" t="s">
        <v>45</v>
      </c>
      <c r="B21" s="12" t="s">
        <v>46</v>
      </c>
      <c r="C21" s="9" t="s">
        <v>47</v>
      </c>
    </row>
    <row r="22" spans="1:3" x14ac:dyDescent="0.25">
      <c r="A22" s="8" t="s">
        <v>48</v>
      </c>
      <c r="B22" s="13" t="s">
        <v>49</v>
      </c>
      <c r="C22" s="9" t="s">
        <v>50</v>
      </c>
    </row>
    <row r="24" spans="1:3" ht="15.75" x14ac:dyDescent="0.25">
      <c r="A24" s="4" t="s">
        <v>51</v>
      </c>
    </row>
    <row r="25" spans="1:3" x14ac:dyDescent="0.25">
      <c r="A25" s="7"/>
      <c r="B25" s="7" t="s">
        <v>52</v>
      </c>
      <c r="C25" s="7" t="s">
        <v>53</v>
      </c>
    </row>
    <row r="26" spans="1:3" x14ac:dyDescent="0.25">
      <c r="A26" s="8"/>
      <c r="B26" s="9" t="s">
        <v>54</v>
      </c>
      <c r="C26" s="9" t="s">
        <v>55</v>
      </c>
    </row>
    <row r="27" spans="1:3" x14ac:dyDescent="0.25">
      <c r="A27" s="8"/>
      <c r="B27" s="9" t="s">
        <v>56</v>
      </c>
      <c r="C27" s="9" t="s">
        <v>57</v>
      </c>
    </row>
    <row r="28" spans="1:3" x14ac:dyDescent="0.25">
      <c r="A28" s="8"/>
      <c r="B28" s="9" t="s">
        <v>58</v>
      </c>
      <c r="C28" s="9" t="s">
        <v>59</v>
      </c>
    </row>
    <row r="29" spans="1:3" x14ac:dyDescent="0.25">
      <c r="A29" s="8"/>
      <c r="B29" s="9" t="s">
        <v>60</v>
      </c>
      <c r="C29" s="9" t="s">
        <v>61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1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7109375" defaultRowHeight="15" x14ac:dyDescent="0.25"/>
  <cols>
    <col min="1" max="1" width="7" customWidth="1"/>
    <col min="2" max="2" width="55" customWidth="1"/>
    <col min="3" max="3" width="22" customWidth="1"/>
    <col min="4" max="4" width="15" customWidth="1"/>
    <col min="5" max="5" width="13" customWidth="1"/>
    <col min="6" max="6" width="11" customWidth="1"/>
    <col min="7" max="7" width="10" customWidth="1"/>
    <col min="8" max="8" width="14" customWidth="1"/>
    <col min="9" max="9" width="30" customWidth="1"/>
    <col min="10" max="10" width="13" customWidth="1"/>
    <col min="11" max="11" width="45" customWidth="1"/>
    <col min="12" max="12" width="22" customWidth="1"/>
    <col min="13" max="13" width="11" customWidth="1"/>
    <col min="14" max="15" width="13" customWidth="1"/>
    <col min="16" max="16" width="11" customWidth="1"/>
    <col min="17" max="17" width="15" customWidth="1"/>
    <col min="18" max="18" width="14" customWidth="1"/>
  </cols>
  <sheetData>
    <row r="1" spans="1:18" ht="42" customHeight="1" x14ac:dyDescent="0.25">
      <c r="A1" s="7" t="s">
        <v>62</v>
      </c>
      <c r="B1" s="7" t="s">
        <v>63</v>
      </c>
      <c r="C1" s="7" t="s">
        <v>64</v>
      </c>
      <c r="D1" s="7" t="s">
        <v>65</v>
      </c>
      <c r="E1" s="7" t="s">
        <v>66</v>
      </c>
      <c r="F1" s="7" t="s">
        <v>67</v>
      </c>
      <c r="G1" s="7" t="s">
        <v>68</v>
      </c>
      <c r="H1" s="7" t="s">
        <v>37</v>
      </c>
      <c r="I1" s="7" t="s">
        <v>69</v>
      </c>
      <c r="J1" s="7" t="s">
        <v>52</v>
      </c>
      <c r="K1" s="7" t="s">
        <v>70</v>
      </c>
      <c r="L1" s="7" t="s">
        <v>71</v>
      </c>
      <c r="M1" s="7" t="s">
        <v>72</v>
      </c>
      <c r="N1" s="7" t="s">
        <v>73</v>
      </c>
      <c r="O1" s="7" t="s">
        <v>74</v>
      </c>
      <c r="P1" s="7" t="s">
        <v>75</v>
      </c>
      <c r="Q1" s="7" t="s">
        <v>76</v>
      </c>
      <c r="R1" s="7" t="s">
        <v>77</v>
      </c>
    </row>
    <row r="2" spans="1:18" ht="75" customHeight="1" x14ac:dyDescent="0.25">
      <c r="A2" s="14" t="s">
        <v>78</v>
      </c>
      <c r="B2" s="15" t="s">
        <v>79</v>
      </c>
      <c r="C2" s="15" t="s">
        <v>80</v>
      </c>
      <c r="D2" s="16" t="s">
        <v>81</v>
      </c>
      <c r="E2" s="16">
        <v>4</v>
      </c>
      <c r="F2" s="16">
        <v>4</v>
      </c>
      <c r="G2" s="14">
        <f t="shared" ref="G2:G21" si="0">IF(OR(E2="",F2=""),"",E2*F2)</f>
        <v>16</v>
      </c>
      <c r="H2" s="14" t="str">
        <f t="shared" ref="H2:H21" si="1">IF(G2="","",IF(G2&gt;=20,"Crítico",IF(G2&gt;=10,"Alto",IF(G2&gt;=5,"Médio","Baixo"))))</f>
        <v>Alto</v>
      </c>
      <c r="I2" s="15" t="s">
        <v>82</v>
      </c>
      <c r="J2" s="16" t="s">
        <v>54</v>
      </c>
      <c r="K2" s="15" t="s">
        <v>83</v>
      </c>
      <c r="L2" s="15" t="s">
        <v>84</v>
      </c>
      <c r="M2" s="16" t="s">
        <v>85</v>
      </c>
      <c r="N2" s="16">
        <v>2</v>
      </c>
      <c r="O2" s="16">
        <v>3</v>
      </c>
      <c r="P2" s="14">
        <f t="shared" ref="P2:P21" si="2">IF(OR(N2="",O2=""),"",N2*O2)</f>
        <v>6</v>
      </c>
      <c r="Q2" s="14" t="str">
        <f t="shared" ref="Q2:Q21" si="3">IF(P2="","",IF(P2&gt;=20,"Crítico",IF(P2&gt;=10,"Alto",IF(P2&gt;=5,"Médio","Baixo"))))</f>
        <v>Médio</v>
      </c>
      <c r="R2" s="16" t="s">
        <v>86</v>
      </c>
    </row>
    <row r="3" spans="1:18" ht="75" customHeight="1" x14ac:dyDescent="0.25">
      <c r="A3" s="14" t="s">
        <v>87</v>
      </c>
      <c r="B3" s="15" t="s">
        <v>88</v>
      </c>
      <c r="C3" s="15" t="s">
        <v>89</v>
      </c>
      <c r="D3" s="16" t="s">
        <v>81</v>
      </c>
      <c r="E3" s="16">
        <v>3</v>
      </c>
      <c r="F3" s="16">
        <v>5</v>
      </c>
      <c r="G3" s="14">
        <f t="shared" si="0"/>
        <v>15</v>
      </c>
      <c r="H3" s="14" t="str">
        <f t="shared" si="1"/>
        <v>Alto</v>
      </c>
      <c r="I3" s="15" t="s">
        <v>90</v>
      </c>
      <c r="J3" s="16" t="s">
        <v>54</v>
      </c>
      <c r="K3" s="15" t="s">
        <v>91</v>
      </c>
      <c r="L3" s="15" t="s">
        <v>84</v>
      </c>
      <c r="M3" s="16" t="s">
        <v>92</v>
      </c>
      <c r="N3" s="16">
        <v>2</v>
      </c>
      <c r="O3" s="16">
        <v>3</v>
      </c>
      <c r="P3" s="14">
        <f t="shared" si="2"/>
        <v>6</v>
      </c>
      <c r="Q3" s="14" t="str">
        <f t="shared" si="3"/>
        <v>Médio</v>
      </c>
      <c r="R3" s="16" t="s">
        <v>93</v>
      </c>
    </row>
    <row r="4" spans="1:18" ht="75" customHeight="1" x14ac:dyDescent="0.25">
      <c r="A4" s="14" t="s">
        <v>94</v>
      </c>
      <c r="B4" s="15" t="s">
        <v>95</v>
      </c>
      <c r="C4" s="15" t="s">
        <v>96</v>
      </c>
      <c r="D4" s="16" t="s">
        <v>97</v>
      </c>
      <c r="E4" s="16">
        <v>4</v>
      </c>
      <c r="F4" s="16">
        <v>4</v>
      </c>
      <c r="G4" s="14">
        <f t="shared" si="0"/>
        <v>16</v>
      </c>
      <c r="H4" s="14" t="str">
        <f t="shared" si="1"/>
        <v>Alto</v>
      </c>
      <c r="I4" s="15" t="s">
        <v>98</v>
      </c>
      <c r="J4" s="16" t="s">
        <v>54</v>
      </c>
      <c r="K4" s="15" t="s">
        <v>99</v>
      </c>
      <c r="L4" s="15" t="s">
        <v>100</v>
      </c>
      <c r="M4" s="16" t="s">
        <v>92</v>
      </c>
      <c r="N4" s="16">
        <v>2</v>
      </c>
      <c r="O4" s="16">
        <v>3</v>
      </c>
      <c r="P4" s="14">
        <f t="shared" si="2"/>
        <v>6</v>
      </c>
      <c r="Q4" s="14" t="str">
        <f t="shared" si="3"/>
        <v>Médio</v>
      </c>
      <c r="R4" s="16" t="s">
        <v>93</v>
      </c>
    </row>
    <row r="5" spans="1:18" ht="75" customHeight="1" x14ac:dyDescent="0.25">
      <c r="A5" s="14" t="s">
        <v>101</v>
      </c>
      <c r="B5" s="15" t="s">
        <v>102</v>
      </c>
      <c r="C5" s="15" t="s">
        <v>103</v>
      </c>
      <c r="D5" s="16" t="s">
        <v>104</v>
      </c>
      <c r="E5" s="16">
        <v>4</v>
      </c>
      <c r="F5" s="16">
        <v>5</v>
      </c>
      <c r="G5" s="14">
        <f t="shared" si="0"/>
        <v>20</v>
      </c>
      <c r="H5" s="14" t="str">
        <f t="shared" si="1"/>
        <v>Crítico</v>
      </c>
      <c r="I5" s="15" t="s">
        <v>105</v>
      </c>
      <c r="J5" s="16" t="s">
        <v>54</v>
      </c>
      <c r="K5" s="15" t="s">
        <v>106</v>
      </c>
      <c r="L5" s="15" t="s">
        <v>107</v>
      </c>
      <c r="M5" s="16" t="s">
        <v>108</v>
      </c>
      <c r="N5" s="16">
        <v>2</v>
      </c>
      <c r="O5" s="16">
        <v>4</v>
      </c>
      <c r="P5" s="14">
        <f t="shared" si="2"/>
        <v>8</v>
      </c>
      <c r="Q5" s="14" t="str">
        <f t="shared" si="3"/>
        <v>Médio</v>
      </c>
      <c r="R5" s="16" t="s">
        <v>93</v>
      </c>
    </row>
    <row r="6" spans="1:18" ht="75" customHeight="1" x14ac:dyDescent="0.25">
      <c r="A6" s="14" t="s">
        <v>109</v>
      </c>
      <c r="B6" s="15" t="s">
        <v>110</v>
      </c>
      <c r="C6" s="15" t="s">
        <v>111</v>
      </c>
      <c r="D6" s="16" t="s">
        <v>112</v>
      </c>
      <c r="E6" s="16">
        <v>3</v>
      </c>
      <c r="F6" s="16">
        <v>4</v>
      </c>
      <c r="G6" s="14">
        <f t="shared" si="0"/>
        <v>12</v>
      </c>
      <c r="H6" s="14" t="str">
        <f t="shared" si="1"/>
        <v>Alto</v>
      </c>
      <c r="I6" s="15" t="s">
        <v>113</v>
      </c>
      <c r="J6" s="16" t="s">
        <v>58</v>
      </c>
      <c r="K6" s="15" t="s">
        <v>114</v>
      </c>
      <c r="L6" s="15" t="s">
        <v>115</v>
      </c>
      <c r="M6" s="16" t="s">
        <v>108</v>
      </c>
      <c r="N6" s="16">
        <v>2</v>
      </c>
      <c r="O6" s="16">
        <v>3</v>
      </c>
      <c r="P6" s="14">
        <f t="shared" si="2"/>
        <v>6</v>
      </c>
      <c r="Q6" s="14" t="str">
        <f t="shared" si="3"/>
        <v>Médio</v>
      </c>
      <c r="R6" s="16" t="s">
        <v>93</v>
      </c>
    </row>
    <row r="7" spans="1:18" ht="75" customHeight="1" x14ac:dyDescent="0.25">
      <c r="A7" s="14" t="s">
        <v>116</v>
      </c>
      <c r="B7" s="15" t="s">
        <v>117</v>
      </c>
      <c r="C7" s="15" t="s">
        <v>118</v>
      </c>
      <c r="D7" s="16" t="s">
        <v>97</v>
      </c>
      <c r="E7" s="16">
        <v>3</v>
      </c>
      <c r="F7" s="16">
        <v>3</v>
      </c>
      <c r="G7" s="14">
        <f t="shared" si="0"/>
        <v>9</v>
      </c>
      <c r="H7" s="14" t="str">
        <f t="shared" si="1"/>
        <v>Médio</v>
      </c>
      <c r="I7" s="15" t="s">
        <v>119</v>
      </c>
      <c r="J7" s="16" t="s">
        <v>54</v>
      </c>
      <c r="K7" s="15" t="s">
        <v>120</v>
      </c>
      <c r="L7" s="15" t="s">
        <v>121</v>
      </c>
      <c r="M7" s="16" t="s">
        <v>85</v>
      </c>
      <c r="N7" s="16">
        <v>1</v>
      </c>
      <c r="O7" s="16">
        <v>3</v>
      </c>
      <c r="P7" s="14">
        <f t="shared" si="2"/>
        <v>3</v>
      </c>
      <c r="Q7" s="14" t="str">
        <f t="shared" si="3"/>
        <v>Baixo</v>
      </c>
      <c r="R7" s="16" t="s">
        <v>93</v>
      </c>
    </row>
    <row r="8" spans="1:18" ht="75" customHeight="1" x14ac:dyDescent="0.25">
      <c r="A8" s="14" t="s">
        <v>122</v>
      </c>
      <c r="B8" s="15" t="s">
        <v>123</v>
      </c>
      <c r="C8" s="15" t="s">
        <v>124</v>
      </c>
      <c r="D8" s="16" t="s">
        <v>125</v>
      </c>
      <c r="E8" s="16">
        <v>4</v>
      </c>
      <c r="F8" s="16">
        <v>4</v>
      </c>
      <c r="G8" s="14">
        <f t="shared" si="0"/>
        <v>16</v>
      </c>
      <c r="H8" s="14" t="str">
        <f t="shared" si="1"/>
        <v>Alto</v>
      </c>
      <c r="I8" s="15" t="s">
        <v>126</v>
      </c>
      <c r="J8" s="16" t="s">
        <v>54</v>
      </c>
      <c r="K8" s="15" t="s">
        <v>127</v>
      </c>
      <c r="L8" s="15" t="s">
        <v>128</v>
      </c>
      <c r="M8" s="16" t="s">
        <v>85</v>
      </c>
      <c r="N8" s="16">
        <v>2</v>
      </c>
      <c r="O8" s="16">
        <v>2</v>
      </c>
      <c r="P8" s="14">
        <f t="shared" si="2"/>
        <v>4</v>
      </c>
      <c r="Q8" s="14" t="str">
        <f t="shared" si="3"/>
        <v>Baixo</v>
      </c>
      <c r="R8" s="16" t="s">
        <v>93</v>
      </c>
    </row>
    <row r="9" spans="1:18" ht="75" customHeight="1" x14ac:dyDescent="0.25">
      <c r="A9" s="14" t="s">
        <v>129</v>
      </c>
      <c r="B9" s="15" t="s">
        <v>130</v>
      </c>
      <c r="C9" s="15" t="s">
        <v>131</v>
      </c>
      <c r="D9" s="16" t="s">
        <v>81</v>
      </c>
      <c r="E9" s="16">
        <v>2</v>
      </c>
      <c r="F9" s="16">
        <v>4</v>
      </c>
      <c r="G9" s="14">
        <f t="shared" si="0"/>
        <v>8</v>
      </c>
      <c r="H9" s="14" t="str">
        <f t="shared" si="1"/>
        <v>Médio</v>
      </c>
      <c r="I9" s="15" t="s">
        <v>132</v>
      </c>
      <c r="J9" s="16" t="s">
        <v>54</v>
      </c>
      <c r="K9" s="15" t="s">
        <v>133</v>
      </c>
      <c r="L9" s="15" t="s">
        <v>134</v>
      </c>
      <c r="M9" s="16" t="s">
        <v>135</v>
      </c>
      <c r="N9" s="16">
        <v>1</v>
      </c>
      <c r="O9" s="16">
        <v>4</v>
      </c>
      <c r="P9" s="14">
        <f t="shared" si="2"/>
        <v>4</v>
      </c>
      <c r="Q9" s="14" t="str">
        <f t="shared" si="3"/>
        <v>Baixo</v>
      </c>
      <c r="R9" s="16" t="s">
        <v>93</v>
      </c>
    </row>
    <row r="10" spans="1:18" ht="75" customHeight="1" x14ac:dyDescent="0.25">
      <c r="A10" s="14" t="s">
        <v>136</v>
      </c>
      <c r="B10" s="15" t="s">
        <v>137</v>
      </c>
      <c r="C10" s="15" t="s">
        <v>138</v>
      </c>
      <c r="D10" s="16" t="s">
        <v>125</v>
      </c>
      <c r="E10" s="16">
        <v>4</v>
      </c>
      <c r="F10" s="16">
        <v>3</v>
      </c>
      <c r="G10" s="14">
        <f t="shared" si="0"/>
        <v>12</v>
      </c>
      <c r="H10" s="14" t="str">
        <f t="shared" si="1"/>
        <v>Alto</v>
      </c>
      <c r="I10" s="15" t="s">
        <v>126</v>
      </c>
      <c r="J10" s="16" t="s">
        <v>54</v>
      </c>
      <c r="K10" s="15" t="s">
        <v>139</v>
      </c>
      <c r="L10" s="15" t="s">
        <v>140</v>
      </c>
      <c r="M10" s="16" t="s">
        <v>141</v>
      </c>
      <c r="N10" s="16">
        <v>2</v>
      </c>
      <c r="O10" s="16">
        <v>2</v>
      </c>
      <c r="P10" s="14">
        <f t="shared" si="2"/>
        <v>4</v>
      </c>
      <c r="Q10" s="14" t="str">
        <f t="shared" si="3"/>
        <v>Baixo</v>
      </c>
      <c r="R10" s="16" t="s">
        <v>93</v>
      </c>
    </row>
    <row r="11" spans="1:18" ht="75" customHeight="1" x14ac:dyDescent="0.25">
      <c r="A11" s="14" t="s">
        <v>142</v>
      </c>
      <c r="B11" s="15" t="s">
        <v>143</v>
      </c>
      <c r="C11" s="15" t="s">
        <v>144</v>
      </c>
      <c r="D11" s="16" t="s">
        <v>145</v>
      </c>
      <c r="E11" s="16">
        <v>2</v>
      </c>
      <c r="F11" s="16">
        <v>2</v>
      </c>
      <c r="G11" s="14">
        <f t="shared" si="0"/>
        <v>4</v>
      </c>
      <c r="H11" s="14" t="str">
        <f t="shared" si="1"/>
        <v>Baixo</v>
      </c>
      <c r="I11" s="15" t="s">
        <v>146</v>
      </c>
      <c r="J11" s="16" t="s">
        <v>56</v>
      </c>
      <c r="K11" s="15" t="s">
        <v>147</v>
      </c>
      <c r="L11" s="15" t="s">
        <v>84</v>
      </c>
      <c r="M11" s="16" t="s">
        <v>148</v>
      </c>
      <c r="N11" s="16">
        <v>2</v>
      </c>
      <c r="O11" s="16">
        <v>2</v>
      </c>
      <c r="P11" s="14">
        <f t="shared" si="2"/>
        <v>4</v>
      </c>
      <c r="Q11" s="14" t="str">
        <f t="shared" si="3"/>
        <v>Baixo</v>
      </c>
      <c r="R11" s="16" t="s">
        <v>149</v>
      </c>
    </row>
    <row r="12" spans="1:18" ht="30" customHeight="1" x14ac:dyDescent="0.25">
      <c r="A12" s="14" t="s">
        <v>150</v>
      </c>
      <c r="B12" s="15"/>
      <c r="C12" s="15"/>
      <c r="D12" s="16"/>
      <c r="E12" s="16"/>
      <c r="F12" s="16"/>
      <c r="G12" s="14" t="str">
        <f t="shared" si="0"/>
        <v/>
      </c>
      <c r="H12" s="14" t="str">
        <f t="shared" si="1"/>
        <v/>
      </c>
      <c r="I12" s="15"/>
      <c r="J12" s="16"/>
      <c r="K12" s="15"/>
      <c r="L12" s="15"/>
      <c r="M12" s="16"/>
      <c r="N12" s="16"/>
      <c r="O12" s="16"/>
      <c r="P12" s="14" t="str">
        <f t="shared" si="2"/>
        <v/>
      </c>
      <c r="Q12" s="14" t="str">
        <f t="shared" si="3"/>
        <v/>
      </c>
      <c r="R12" s="16"/>
    </row>
    <row r="13" spans="1:18" ht="30" customHeight="1" x14ac:dyDescent="0.25">
      <c r="A13" s="14" t="s">
        <v>151</v>
      </c>
      <c r="B13" s="15"/>
      <c r="C13" s="15"/>
      <c r="D13" s="16"/>
      <c r="E13" s="16"/>
      <c r="F13" s="16"/>
      <c r="G13" s="14" t="str">
        <f t="shared" si="0"/>
        <v/>
      </c>
      <c r="H13" s="14" t="str">
        <f t="shared" si="1"/>
        <v/>
      </c>
      <c r="I13" s="15"/>
      <c r="J13" s="16"/>
      <c r="K13" s="15"/>
      <c r="L13" s="15"/>
      <c r="M13" s="16"/>
      <c r="N13" s="16"/>
      <c r="O13" s="16"/>
      <c r="P13" s="14" t="str">
        <f t="shared" si="2"/>
        <v/>
      </c>
      <c r="Q13" s="14" t="str">
        <f t="shared" si="3"/>
        <v/>
      </c>
      <c r="R13" s="16"/>
    </row>
    <row r="14" spans="1:18" ht="30" customHeight="1" x14ac:dyDescent="0.25">
      <c r="A14" s="14" t="s">
        <v>152</v>
      </c>
      <c r="B14" s="15"/>
      <c r="C14" s="15"/>
      <c r="D14" s="16"/>
      <c r="E14" s="16"/>
      <c r="F14" s="16"/>
      <c r="G14" s="14" t="str">
        <f t="shared" si="0"/>
        <v/>
      </c>
      <c r="H14" s="14" t="str">
        <f t="shared" si="1"/>
        <v/>
      </c>
      <c r="I14" s="15"/>
      <c r="J14" s="16"/>
      <c r="K14" s="15"/>
      <c r="L14" s="15"/>
      <c r="M14" s="16"/>
      <c r="N14" s="16"/>
      <c r="O14" s="16"/>
      <c r="P14" s="14" t="str">
        <f t="shared" si="2"/>
        <v/>
      </c>
      <c r="Q14" s="14" t="str">
        <f t="shared" si="3"/>
        <v/>
      </c>
      <c r="R14" s="16"/>
    </row>
    <row r="15" spans="1:18" ht="30" customHeight="1" x14ac:dyDescent="0.25">
      <c r="A15" s="14" t="s">
        <v>153</v>
      </c>
      <c r="B15" s="15"/>
      <c r="C15" s="15"/>
      <c r="D15" s="16"/>
      <c r="E15" s="16"/>
      <c r="F15" s="16"/>
      <c r="G15" s="14" t="str">
        <f t="shared" si="0"/>
        <v/>
      </c>
      <c r="H15" s="14" t="str">
        <f t="shared" si="1"/>
        <v/>
      </c>
      <c r="I15" s="15"/>
      <c r="J15" s="16"/>
      <c r="K15" s="15"/>
      <c r="L15" s="15"/>
      <c r="M15" s="16"/>
      <c r="N15" s="16"/>
      <c r="O15" s="16"/>
      <c r="P15" s="14" t="str">
        <f t="shared" si="2"/>
        <v/>
      </c>
      <c r="Q15" s="14" t="str">
        <f t="shared" si="3"/>
        <v/>
      </c>
      <c r="R15" s="16"/>
    </row>
    <row r="16" spans="1:18" ht="30" customHeight="1" x14ac:dyDescent="0.25">
      <c r="A16" s="14" t="s">
        <v>154</v>
      </c>
      <c r="B16" s="15"/>
      <c r="C16" s="15"/>
      <c r="D16" s="16"/>
      <c r="E16" s="16"/>
      <c r="F16" s="16"/>
      <c r="G16" s="14" t="str">
        <f t="shared" si="0"/>
        <v/>
      </c>
      <c r="H16" s="14" t="str">
        <f t="shared" si="1"/>
        <v/>
      </c>
      <c r="I16" s="15"/>
      <c r="J16" s="16"/>
      <c r="K16" s="15"/>
      <c r="L16" s="15"/>
      <c r="M16" s="16"/>
      <c r="N16" s="16"/>
      <c r="O16" s="16"/>
      <c r="P16" s="14" t="str">
        <f t="shared" si="2"/>
        <v/>
      </c>
      <c r="Q16" s="14" t="str">
        <f t="shared" si="3"/>
        <v/>
      </c>
      <c r="R16" s="16"/>
    </row>
    <row r="17" spans="1:18" ht="30" customHeight="1" x14ac:dyDescent="0.25">
      <c r="A17" s="14" t="s">
        <v>155</v>
      </c>
      <c r="B17" s="15"/>
      <c r="C17" s="15"/>
      <c r="D17" s="16"/>
      <c r="E17" s="16"/>
      <c r="F17" s="16"/>
      <c r="G17" s="14" t="str">
        <f t="shared" si="0"/>
        <v/>
      </c>
      <c r="H17" s="14" t="str">
        <f t="shared" si="1"/>
        <v/>
      </c>
      <c r="I17" s="15"/>
      <c r="J17" s="16"/>
      <c r="K17" s="15"/>
      <c r="L17" s="15"/>
      <c r="M17" s="16"/>
      <c r="N17" s="16"/>
      <c r="O17" s="16"/>
      <c r="P17" s="14" t="str">
        <f t="shared" si="2"/>
        <v/>
      </c>
      <c r="Q17" s="14" t="str">
        <f t="shared" si="3"/>
        <v/>
      </c>
      <c r="R17" s="16"/>
    </row>
    <row r="18" spans="1:18" ht="30" customHeight="1" x14ac:dyDescent="0.25">
      <c r="A18" s="14" t="s">
        <v>156</v>
      </c>
      <c r="B18" s="15"/>
      <c r="C18" s="15"/>
      <c r="D18" s="16"/>
      <c r="E18" s="16"/>
      <c r="F18" s="16"/>
      <c r="G18" s="14" t="str">
        <f t="shared" si="0"/>
        <v/>
      </c>
      <c r="H18" s="14" t="str">
        <f t="shared" si="1"/>
        <v/>
      </c>
      <c r="I18" s="15"/>
      <c r="J18" s="16"/>
      <c r="K18" s="15"/>
      <c r="L18" s="15"/>
      <c r="M18" s="16"/>
      <c r="N18" s="16"/>
      <c r="O18" s="16"/>
      <c r="P18" s="14" t="str">
        <f t="shared" si="2"/>
        <v/>
      </c>
      <c r="Q18" s="14" t="str">
        <f t="shared" si="3"/>
        <v/>
      </c>
      <c r="R18" s="16"/>
    </row>
    <row r="19" spans="1:18" ht="30" customHeight="1" x14ac:dyDescent="0.25">
      <c r="A19" s="14" t="s">
        <v>157</v>
      </c>
      <c r="B19" s="15"/>
      <c r="C19" s="15"/>
      <c r="D19" s="16"/>
      <c r="E19" s="16"/>
      <c r="F19" s="16"/>
      <c r="G19" s="14" t="str">
        <f t="shared" si="0"/>
        <v/>
      </c>
      <c r="H19" s="14" t="str">
        <f t="shared" si="1"/>
        <v/>
      </c>
      <c r="I19" s="15"/>
      <c r="J19" s="16"/>
      <c r="K19" s="15"/>
      <c r="L19" s="15"/>
      <c r="M19" s="16"/>
      <c r="N19" s="16"/>
      <c r="O19" s="16"/>
      <c r="P19" s="14" t="str">
        <f t="shared" si="2"/>
        <v/>
      </c>
      <c r="Q19" s="14" t="str">
        <f t="shared" si="3"/>
        <v/>
      </c>
      <c r="R19" s="16"/>
    </row>
    <row r="20" spans="1:18" ht="30" customHeight="1" x14ac:dyDescent="0.25">
      <c r="A20" s="14" t="s">
        <v>158</v>
      </c>
      <c r="B20" s="15"/>
      <c r="C20" s="15"/>
      <c r="D20" s="16"/>
      <c r="E20" s="16"/>
      <c r="F20" s="16"/>
      <c r="G20" s="14" t="str">
        <f t="shared" si="0"/>
        <v/>
      </c>
      <c r="H20" s="14" t="str">
        <f t="shared" si="1"/>
        <v/>
      </c>
      <c r="I20" s="15"/>
      <c r="J20" s="16"/>
      <c r="K20" s="15"/>
      <c r="L20" s="15"/>
      <c r="M20" s="16"/>
      <c r="N20" s="16"/>
      <c r="O20" s="16"/>
      <c r="P20" s="14" t="str">
        <f t="shared" si="2"/>
        <v/>
      </c>
      <c r="Q20" s="14" t="str">
        <f t="shared" si="3"/>
        <v/>
      </c>
      <c r="R20" s="16"/>
    </row>
    <row r="21" spans="1:18" ht="30" customHeight="1" x14ac:dyDescent="0.25">
      <c r="A21" s="14" t="s">
        <v>159</v>
      </c>
      <c r="B21" s="15"/>
      <c r="C21" s="15"/>
      <c r="D21" s="16"/>
      <c r="E21" s="16"/>
      <c r="F21" s="16"/>
      <c r="G21" s="14" t="str">
        <f t="shared" si="0"/>
        <v/>
      </c>
      <c r="H21" s="14" t="str">
        <f t="shared" si="1"/>
        <v/>
      </c>
      <c r="I21" s="15"/>
      <c r="J21" s="16"/>
      <c r="K21" s="15"/>
      <c r="L21" s="15"/>
      <c r="M21" s="16"/>
      <c r="N21" s="16"/>
      <c r="O21" s="16"/>
      <c r="P21" s="14" t="str">
        <f t="shared" si="2"/>
        <v/>
      </c>
      <c r="Q21" s="14" t="str">
        <f t="shared" si="3"/>
        <v/>
      </c>
      <c r="R21" s="16"/>
    </row>
  </sheetData>
  <autoFilter ref="A1:R21" xr:uid="{00000000-0009-0000-0000-000002000000}"/>
  <conditionalFormatting sqref="H2:H21">
    <cfRule type="cellIs" dxfId="7" priority="2" operator="equal">
      <formula>"Baixo"</formula>
    </cfRule>
    <cfRule type="cellIs" dxfId="6" priority="3" operator="equal">
      <formula>"Médio"</formula>
    </cfRule>
    <cfRule type="cellIs" dxfId="5" priority="4" operator="equal">
      <formula>"Alto"</formula>
    </cfRule>
    <cfRule type="cellIs" dxfId="4" priority="5" operator="equal">
      <formula>"Crítico"</formula>
    </cfRule>
  </conditionalFormatting>
  <conditionalFormatting sqref="Q2:Q21">
    <cfRule type="cellIs" dxfId="3" priority="6" operator="equal">
      <formula>"Baixo"</formula>
    </cfRule>
    <cfRule type="cellIs" dxfId="2" priority="7" operator="equal">
      <formula>"Médio"</formula>
    </cfRule>
    <cfRule type="cellIs" dxfId="1" priority="8" operator="equal">
      <formula>"Alto"</formula>
    </cfRule>
    <cfRule type="cellIs" dxfId="0" priority="9" operator="equal">
      <formula>"Crítico"</formula>
    </cfRule>
  </conditionalFormatting>
  <dataValidations count="4">
    <dataValidation type="list" allowBlank="1" sqref="E2:F21 N2:O21" xr:uid="{00000000-0002-0000-0200-000000000000}">
      <formula1>"1,2,3,4,5"</formula1>
      <formula2>0</formula2>
    </dataValidation>
    <dataValidation type="list" allowBlank="1" sqref="J2:J21" xr:uid="{00000000-0002-0000-0200-000001000000}">
      <formula1>"Mitigar,Aceitar,Transferir,Evitar"</formula1>
      <formula2>0</formula2>
    </dataValidation>
    <dataValidation type="list" allowBlank="1" sqref="D2:D21" xr:uid="{00000000-0002-0000-0200-000002000000}">
      <formula1>"Pessoas,Processos,Tecnologia,Fornecedores,Conformidade,Física"</formula1>
      <formula2>0</formula2>
    </dataValidation>
    <dataValidation type="list" allowBlank="1" sqref="R2:R21" xr:uid="{00000000-0002-0000-0200-000003000000}">
      <formula1>"Não iniciado,Em andamento,Concluído"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0"/>
  <sheetViews>
    <sheetView zoomScaleNormal="100" workbookViewId="0">
      <selection activeCell="J7" sqref="J7"/>
    </sheetView>
  </sheetViews>
  <sheetFormatPr defaultColWidth="8.7109375" defaultRowHeight="15" x14ac:dyDescent="0.25"/>
  <cols>
    <col min="1" max="1" width="20" customWidth="1"/>
    <col min="2" max="2" width="16" customWidth="1"/>
    <col min="3" max="7" width="15" customWidth="1"/>
  </cols>
  <sheetData>
    <row r="1" spans="1:7" ht="15.75" x14ac:dyDescent="0.25">
      <c r="A1" s="4" t="s">
        <v>160</v>
      </c>
    </row>
    <row r="2" spans="1:7" x14ac:dyDescent="0.25">
      <c r="A2" s="27" t="s">
        <v>161</v>
      </c>
    </row>
    <row r="3" spans="1:7" x14ac:dyDescent="0.25">
      <c r="C3" s="17" t="s">
        <v>162</v>
      </c>
    </row>
    <row r="4" spans="1:7" ht="30" x14ac:dyDescent="0.25">
      <c r="C4" s="7" t="s">
        <v>163</v>
      </c>
      <c r="D4" s="7" t="s">
        <v>164</v>
      </c>
      <c r="E4" s="7" t="s">
        <v>165</v>
      </c>
      <c r="F4" s="7" t="s">
        <v>166</v>
      </c>
      <c r="G4" s="7" t="s">
        <v>167</v>
      </c>
    </row>
    <row r="5" spans="1:7" ht="36" customHeight="1" x14ac:dyDescent="0.25">
      <c r="A5" s="17" t="s">
        <v>168</v>
      </c>
      <c r="B5" s="7" t="s">
        <v>169</v>
      </c>
      <c r="C5" s="18">
        <f>COUNTIFS('Matriz de Riscos'!$E$2:$E$21,5,'Matriz de Riscos'!$F$2:$F$21,1)</f>
        <v>0</v>
      </c>
      <c r="D5" s="19">
        <f>COUNTIFS('Matriz de Riscos'!$E$2:$E$21,5,'Matriz de Riscos'!$F$2:$F$21,2)</f>
        <v>0</v>
      </c>
      <c r="E5" s="19">
        <f>COUNTIFS('Matriz de Riscos'!$E$2:$E$21,5,'Matriz de Riscos'!$F$2:$F$21,3)</f>
        <v>0</v>
      </c>
      <c r="F5" s="20">
        <f>COUNTIFS('Matriz de Riscos'!$E$2:$E$21,5,'Matriz de Riscos'!$F$2:$F$21,4)</f>
        <v>0</v>
      </c>
      <c r="G5" s="20">
        <f>COUNTIFS('Matriz de Riscos'!$E$2:$E$21,5,'Matriz de Riscos'!$F$2:$F$21,5)</f>
        <v>0</v>
      </c>
    </row>
    <row r="6" spans="1:7" ht="36" customHeight="1" x14ac:dyDescent="0.25">
      <c r="B6" s="7" t="s">
        <v>170</v>
      </c>
      <c r="C6" s="21">
        <f>COUNTIFS('Matriz de Riscos'!$E$2:$E$21,4,'Matriz de Riscos'!$F$2:$F$21,1)</f>
        <v>0</v>
      </c>
      <c r="D6" s="18">
        <f>COUNTIFS('Matriz de Riscos'!$E$2:$E$21,4,'Matriz de Riscos'!$F$2:$F$21,2)</f>
        <v>0</v>
      </c>
      <c r="E6" s="19">
        <f>COUNTIFS('Matriz de Riscos'!$E$2:$E$21,4,'Matriz de Riscos'!$F$2:$F$21,3)</f>
        <v>1</v>
      </c>
      <c r="F6" s="19">
        <f>COUNTIFS('Matriz de Riscos'!$E$2:$E$21,4,'Matriz de Riscos'!$F$2:$F$21,4)</f>
        <v>3</v>
      </c>
      <c r="G6" s="20">
        <f>COUNTIFS('Matriz de Riscos'!$E$2:$E$21,4,'Matriz de Riscos'!$F$2:$F$21,5)</f>
        <v>1</v>
      </c>
    </row>
    <row r="7" spans="1:7" ht="36" customHeight="1" x14ac:dyDescent="0.25">
      <c r="B7" s="7" t="s">
        <v>171</v>
      </c>
      <c r="C7" s="21">
        <f>COUNTIFS('Matriz de Riscos'!$E$2:$E$21,3,'Matriz de Riscos'!$F$2:$F$21,1)</f>
        <v>0</v>
      </c>
      <c r="D7" s="18">
        <f>COUNTIFS('Matriz de Riscos'!$E$2:$E$21,3,'Matriz de Riscos'!$F$2:$F$21,2)</f>
        <v>0</v>
      </c>
      <c r="E7" s="18">
        <f>COUNTIFS('Matriz de Riscos'!$E$2:$E$21,3,'Matriz de Riscos'!$F$2:$F$21,3)</f>
        <v>1</v>
      </c>
      <c r="F7" s="19">
        <f>COUNTIFS('Matriz de Riscos'!$E$2:$E$21,3,'Matriz de Riscos'!$F$2:$F$21,4)</f>
        <v>1</v>
      </c>
      <c r="G7" s="19">
        <f>COUNTIFS('Matriz de Riscos'!$E$2:$E$21,3,'Matriz de Riscos'!$F$2:$F$21,5)</f>
        <v>1</v>
      </c>
    </row>
    <row r="8" spans="1:7" ht="36" customHeight="1" x14ac:dyDescent="0.25">
      <c r="B8" s="7" t="s">
        <v>172</v>
      </c>
      <c r="C8" s="21">
        <f>COUNTIFS('Matriz de Riscos'!$E$2:$E$21,2,'Matriz de Riscos'!$F$2:$F$21,1)</f>
        <v>0</v>
      </c>
      <c r="D8" s="21">
        <f>COUNTIFS('Matriz de Riscos'!$E$2:$E$21,2,'Matriz de Riscos'!$F$2:$F$21,2)</f>
        <v>1</v>
      </c>
      <c r="E8" s="18">
        <f>COUNTIFS('Matriz de Riscos'!$E$2:$E$21,2,'Matriz de Riscos'!$F$2:$F$21,3)</f>
        <v>0</v>
      </c>
      <c r="F8" s="18">
        <f>COUNTIFS('Matriz de Riscos'!$E$2:$E$21,2,'Matriz de Riscos'!$F$2:$F$21,4)</f>
        <v>1</v>
      </c>
      <c r="G8" s="19">
        <f>COUNTIFS('Matriz de Riscos'!$E$2:$E$21,2,'Matriz de Riscos'!$F$2:$F$21,5)</f>
        <v>0</v>
      </c>
    </row>
    <row r="9" spans="1:7" ht="36" customHeight="1" x14ac:dyDescent="0.25">
      <c r="B9" s="7" t="s">
        <v>173</v>
      </c>
      <c r="C9" s="21">
        <f>COUNTIFS('Matriz de Riscos'!$E$2:$E$21,1,'Matriz de Riscos'!$F$2:$F$21,1)</f>
        <v>0</v>
      </c>
      <c r="D9" s="21">
        <f>COUNTIFS('Matriz de Riscos'!$E$2:$E$21,1,'Matriz de Riscos'!$F$2:$F$21,2)</f>
        <v>0</v>
      </c>
      <c r="E9" s="21">
        <f>COUNTIFS('Matriz de Riscos'!$E$2:$E$21,1,'Matriz de Riscos'!$F$2:$F$21,3)</f>
        <v>0</v>
      </c>
      <c r="F9" s="21">
        <f>COUNTIFS('Matriz de Riscos'!$E$2:$E$21,1,'Matriz de Riscos'!$F$2:$F$21,4)</f>
        <v>0</v>
      </c>
      <c r="G9" s="18">
        <f>COUNTIFS('Matriz de Riscos'!$E$2:$E$21,1,'Matriz de Riscos'!$F$2:$F$21,5)</f>
        <v>0</v>
      </c>
    </row>
    <row r="13" spans="1:7" ht="15.75" x14ac:dyDescent="0.25">
      <c r="A13" s="4" t="s">
        <v>174</v>
      </c>
    </row>
    <row r="14" spans="1:7" x14ac:dyDescent="0.25">
      <c r="A14" s="27" t="s">
        <v>161</v>
      </c>
    </row>
    <row r="15" spans="1:7" x14ac:dyDescent="0.25">
      <c r="C15" s="17" t="s">
        <v>162</v>
      </c>
    </row>
    <row r="16" spans="1:7" ht="30" x14ac:dyDescent="0.25">
      <c r="C16" s="7" t="s">
        <v>163</v>
      </c>
      <c r="D16" s="7" t="s">
        <v>164</v>
      </c>
      <c r="E16" s="7" t="s">
        <v>165</v>
      </c>
      <c r="F16" s="7" t="s">
        <v>166</v>
      </c>
      <c r="G16" s="7" t="s">
        <v>167</v>
      </c>
    </row>
    <row r="17" spans="1:7" ht="36" customHeight="1" x14ac:dyDescent="0.25">
      <c r="A17" s="17" t="s">
        <v>168</v>
      </c>
      <c r="B17" s="7" t="s">
        <v>169</v>
      </c>
      <c r="C17" s="18">
        <f>COUNTIFS('Matriz de Riscos'!$N$2:$N$21,5,'Matriz de Riscos'!$O$2:$O$21,1)</f>
        <v>0</v>
      </c>
      <c r="D17" s="19">
        <f>COUNTIFS('Matriz de Riscos'!$N$2:$N$21,5,'Matriz de Riscos'!$O$2:$O$21,2)</f>
        <v>0</v>
      </c>
      <c r="E17" s="19">
        <f>COUNTIFS('Matriz de Riscos'!$N$2:$N$21,5,'Matriz de Riscos'!$O$2:$O$21,3)</f>
        <v>0</v>
      </c>
      <c r="F17" s="20">
        <f>COUNTIFS('Matriz de Riscos'!$N$2:$N$21,5,'Matriz de Riscos'!$O$2:$O$21,4)</f>
        <v>0</v>
      </c>
      <c r="G17" s="20">
        <f>COUNTIFS('Matriz de Riscos'!$N$2:$N$21,5,'Matriz de Riscos'!$O$2:$O$21,5)</f>
        <v>0</v>
      </c>
    </row>
    <row r="18" spans="1:7" ht="36" customHeight="1" x14ac:dyDescent="0.25">
      <c r="B18" s="7" t="s">
        <v>170</v>
      </c>
      <c r="C18" s="21">
        <f>COUNTIFS('Matriz de Riscos'!$N$2:$N$21,4,'Matriz de Riscos'!$O$2:$O$21,1)</f>
        <v>0</v>
      </c>
      <c r="D18" s="18">
        <f>COUNTIFS('Matriz de Riscos'!$N$2:$N$21,4,'Matriz de Riscos'!$O$2:$O$21,2)</f>
        <v>0</v>
      </c>
      <c r="E18" s="19">
        <f>COUNTIFS('Matriz de Riscos'!$N$2:$N$21,4,'Matriz de Riscos'!$O$2:$O$21,3)</f>
        <v>0</v>
      </c>
      <c r="F18" s="19">
        <f>COUNTIFS('Matriz de Riscos'!$N$2:$N$21,4,'Matriz de Riscos'!$O$2:$O$21,4)</f>
        <v>0</v>
      </c>
      <c r="G18" s="20">
        <f>COUNTIFS('Matriz de Riscos'!$N$2:$N$21,4,'Matriz de Riscos'!$O$2:$O$21,5)</f>
        <v>0</v>
      </c>
    </row>
    <row r="19" spans="1:7" ht="36" customHeight="1" x14ac:dyDescent="0.25">
      <c r="B19" s="7" t="s">
        <v>171</v>
      </c>
      <c r="C19" s="21">
        <f>COUNTIFS('Matriz de Riscos'!$N$2:$N$21,3,'Matriz de Riscos'!$O$2:$O$21,1)</f>
        <v>0</v>
      </c>
      <c r="D19" s="18">
        <f>COUNTIFS('Matriz de Riscos'!$N$2:$N$21,3,'Matriz de Riscos'!$O$2:$O$21,2)</f>
        <v>0</v>
      </c>
      <c r="E19" s="18">
        <f>COUNTIFS('Matriz de Riscos'!$N$2:$N$21,3,'Matriz de Riscos'!$O$2:$O$21,3)</f>
        <v>0</v>
      </c>
      <c r="F19" s="19">
        <f>COUNTIFS('Matriz de Riscos'!$N$2:$N$21,3,'Matriz de Riscos'!$O$2:$O$21,4)</f>
        <v>0</v>
      </c>
      <c r="G19" s="19">
        <f>COUNTIFS('Matriz de Riscos'!$N$2:$N$21,3,'Matriz de Riscos'!$O$2:$O$21,5)</f>
        <v>0</v>
      </c>
    </row>
    <row r="20" spans="1:7" ht="36" customHeight="1" x14ac:dyDescent="0.25">
      <c r="B20" s="7" t="s">
        <v>172</v>
      </c>
      <c r="C20" s="21">
        <f>COUNTIFS('Matriz de Riscos'!$N$2:$N$21,2,'Matriz de Riscos'!$O$2:$O$21,1)</f>
        <v>0</v>
      </c>
      <c r="D20" s="21">
        <f>COUNTIFS('Matriz de Riscos'!$N$2:$N$21,2,'Matriz de Riscos'!$O$2:$O$21,2)</f>
        <v>3</v>
      </c>
      <c r="E20" s="18">
        <f>COUNTIFS('Matriz de Riscos'!$N$2:$N$21,2,'Matriz de Riscos'!$O$2:$O$21,3)</f>
        <v>4</v>
      </c>
      <c r="F20" s="18">
        <f>COUNTIFS('Matriz de Riscos'!$N$2:$N$21,2,'Matriz de Riscos'!$O$2:$O$21,4)</f>
        <v>1</v>
      </c>
      <c r="G20" s="19">
        <f>COUNTIFS('Matriz de Riscos'!$N$2:$N$21,2,'Matriz de Riscos'!$O$2:$O$21,5)</f>
        <v>0</v>
      </c>
    </row>
    <row r="21" spans="1:7" ht="36" customHeight="1" x14ac:dyDescent="0.25">
      <c r="B21" s="7" t="s">
        <v>173</v>
      </c>
      <c r="C21" s="21">
        <f>COUNTIFS('Matriz de Riscos'!$N$2:$N$21,1,'Matriz de Riscos'!$O$2:$O$21,1)</f>
        <v>0</v>
      </c>
      <c r="D21" s="21">
        <f>COUNTIFS('Matriz de Riscos'!$N$2:$N$21,1,'Matriz de Riscos'!$O$2:$O$21,2)</f>
        <v>0</v>
      </c>
      <c r="E21" s="21">
        <f>COUNTIFS('Matriz de Riscos'!$N$2:$N$21,1,'Matriz de Riscos'!$O$2:$O$21,3)</f>
        <v>1</v>
      </c>
      <c r="F21" s="21">
        <f>COUNTIFS('Matriz de Riscos'!$N$2:$N$21,1,'Matriz de Riscos'!$O$2:$O$21,4)</f>
        <v>1</v>
      </c>
      <c r="G21" s="18">
        <f>COUNTIFS('Matriz de Riscos'!$N$2:$N$21,1,'Matriz de Riscos'!$O$2:$O$21,5)</f>
        <v>0</v>
      </c>
    </row>
    <row r="24" spans="1:7" ht="15.75" x14ac:dyDescent="0.25">
      <c r="A24" s="4" t="s">
        <v>175</v>
      </c>
    </row>
    <row r="25" spans="1:7" x14ac:dyDescent="0.25">
      <c r="A25" s="7" t="s">
        <v>37</v>
      </c>
      <c r="B25" s="7" t="s">
        <v>176</v>
      </c>
      <c r="C25" s="7" t="s">
        <v>177</v>
      </c>
    </row>
    <row r="26" spans="1:7" x14ac:dyDescent="0.25">
      <c r="A26" s="22" t="s">
        <v>49</v>
      </c>
      <c r="B26" s="8">
        <f>COUNTIF('Matriz de Riscos'!$H$2:$H$21,"Crítico")</f>
        <v>1</v>
      </c>
      <c r="C26" s="8">
        <f>COUNTIF('Matriz de Riscos'!$Q$2:$Q$21,"Crítico")</f>
        <v>0</v>
      </c>
    </row>
    <row r="27" spans="1:7" x14ac:dyDescent="0.25">
      <c r="A27" s="23" t="s">
        <v>46</v>
      </c>
      <c r="B27" s="8">
        <f>COUNTIF('Matriz de Riscos'!$H$2:$H$21,"Alto")</f>
        <v>6</v>
      </c>
      <c r="C27" s="8">
        <f>COUNTIF('Matriz de Riscos'!$Q$2:$Q$21,"Alto")</f>
        <v>0</v>
      </c>
    </row>
    <row r="28" spans="1:7" x14ac:dyDescent="0.25">
      <c r="A28" s="24" t="s">
        <v>43</v>
      </c>
      <c r="B28" s="8">
        <f>COUNTIF('Matriz de Riscos'!$H$2:$H$21,"Médio")</f>
        <v>2</v>
      </c>
      <c r="C28" s="8">
        <f>COUNTIF('Matriz de Riscos'!$Q$2:$Q$21,"Médio")</f>
        <v>5</v>
      </c>
    </row>
    <row r="29" spans="1:7" x14ac:dyDescent="0.25">
      <c r="A29" s="25" t="s">
        <v>40</v>
      </c>
      <c r="B29" s="8">
        <f>COUNTIF('Matriz de Riscos'!$H$2:$H$21,"Baixo")</f>
        <v>1</v>
      </c>
      <c r="C29" s="8">
        <f>COUNTIF('Matriz de Riscos'!$Q$2:$Q$21,"Baixo")</f>
        <v>5</v>
      </c>
    </row>
    <row r="30" spans="1:7" x14ac:dyDescent="0.25">
      <c r="A30" s="26" t="s">
        <v>178</v>
      </c>
      <c r="B30" s="26">
        <f>SUM(B26:B29)</f>
        <v>10</v>
      </c>
      <c r="C30" s="26">
        <f>SUM(C26:C29)</f>
        <v>10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Instruções</vt:lpstr>
      <vt:lpstr>Escalas</vt:lpstr>
      <vt:lpstr>Matriz de Riscos</vt:lpstr>
      <vt:lpstr>Mapa de Calor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Victoria Andraus Canoilas Castro</cp:lastModifiedBy>
  <cp:revision>0</cp:revision>
  <dcterms:created xsi:type="dcterms:W3CDTF">2026-10-12T21:15:59Z</dcterms:created>
  <dcterms:modified xsi:type="dcterms:W3CDTF">2026-10-14T03:22:10Z</dcterms:modified>
  <dc:language>en-US</dc:language>
</cp:coreProperties>
</file>
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7f418012c5b53d4/Documentos/Coursera Aprendizado/Portfolio Github/checklist-lgpd/"/>
    </mc:Choice>
  </mc:AlternateContent>
  <xr:revisionPtr revIDLastSave="2" documentId="11_A3BDCD7E1E3981BC59499E59C3C6994A41D938BF" xr6:coauthVersionLast="47" xr6:coauthVersionMax="47" xr10:uidLastSave="{0E1EA3C1-895E-43FD-BC45-3665A4AEFDD0}"/>
  <bookViews>
    <workbookView xWindow="-120" yWindow="-120" windowWidth="38640" windowHeight="15720" tabRatio="500" xr2:uid="{00000000-000D-0000-FFFF-FFFF00000000}"/>
  </bookViews>
  <sheets>
    <sheet name="Instruções" sheetId="1" r:id="rId1"/>
    <sheet name="Checklist" sheetId="2" r:id="rId2"/>
    <sheet name="Resumo" sheetId="3" r:id="rId3"/>
  </sheets>
  <definedNames>
    <definedName name="_xlnm._FilterDatabase" localSheetId="1" hidden="1">Checklist!$A$1:$J$30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3" l="1"/>
  <c r="D10" i="3"/>
  <c r="C10" i="3"/>
  <c r="B10" i="3"/>
  <c r="F10" i="3" s="1"/>
  <c r="E9" i="3"/>
  <c r="D9" i="3"/>
  <c r="C9" i="3"/>
  <c r="B9" i="3"/>
  <c r="F9" i="3" s="1"/>
  <c r="E8" i="3"/>
  <c r="D8" i="3"/>
  <c r="C8" i="3"/>
  <c r="B8" i="3"/>
  <c r="F8" i="3" s="1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E4" i="3"/>
  <c r="D4" i="3"/>
  <c r="C4" i="3"/>
  <c r="B4" i="3"/>
  <c r="F4" i="3" s="1"/>
  <c r="E3" i="3"/>
  <c r="D3" i="3"/>
  <c r="C3" i="3"/>
  <c r="B3" i="3"/>
  <c r="F3" i="3" s="1"/>
  <c r="F2" i="3"/>
  <c r="E2" i="3"/>
  <c r="E11" i="3" s="1"/>
  <c r="D2" i="3"/>
  <c r="D11" i="3" s="1"/>
  <c r="C2" i="3"/>
  <c r="C11" i="3" s="1"/>
  <c r="B2" i="3"/>
  <c r="B11" i="3" s="1"/>
  <c r="F11" i="3" s="1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<sst xmlns="http://schemas.openxmlformats.org/spreadsheetml/2006/main" count="300" uniqueCount="197">
  <si>
    <t>Checklist de Conformidade com a LGPD – Flor de Ipê Cosméticos (empresa fictícia)</t>
  </si>
  <si>
    <t>Projeto de portfólio em cenário simulado. Base: Lei nº 13.709/2018 (LGPD) e orientações da ANPD.</t>
  </si>
  <si>
    <t>Como ler esta planilha</t>
  </si>
  <si>
    <t>1. A aba 'Checklist' tem 29 perguntas, divididas em 9 temas da LGPD.</t>
  </si>
  <si>
    <t>2. Cada pergunta recebeu um status: Atende (1 ponto), Atende parcialmente (0,5 ponto) ou Não atende (0 ponto).</t>
  </si>
  <si>
    <t>3. Itens marcados como 'Não se aplica' ficam fora do cálculo.</t>
  </si>
  <si>
    <t>4. A aba 'Resumo' calcula automaticamente o percentual de conformidade por tema e o geral.</t>
  </si>
  <si>
    <t>5. Cada item tem a situação encontrada, a ação recomendada, o responsável e o prazo.</t>
  </si>
  <si>
    <t>Legenda de cores</t>
  </si>
  <si>
    <t>ID</t>
  </si>
  <si>
    <t>Tema</t>
  </si>
  <si>
    <t>Artigo da LGPD</t>
  </si>
  <si>
    <t>Pergunta</t>
  </si>
  <si>
    <t>Status</t>
  </si>
  <si>
    <t>Pontos</t>
  </si>
  <si>
    <t>Situação encontrada</t>
  </si>
  <si>
    <t>Ação recomendada</t>
  </si>
  <si>
    <t>Responsável</t>
  </si>
  <si>
    <t>Prazo</t>
  </si>
  <si>
    <t>L01</t>
  </si>
  <si>
    <t>1. Mapeamento dos dados</t>
  </si>
  <si>
    <t>Art. 37</t>
  </si>
  <si>
    <t>A empresa sabe quais dados pessoais coleta, onde eles ficam e quem tem acesso?</t>
  </si>
  <si>
    <t>Não atende</t>
  </si>
  <si>
    <t>Não existe mapeamento. Os dados estão espalhados no ERP, no CRM, em planilhas e no WhatsApp.</t>
  </si>
  <si>
    <t>Fazer o mapeamento de dados (inventário) de todas as áreas</t>
  </si>
  <si>
    <t>Encarregado + TI</t>
  </si>
  <si>
    <t>90 dias</t>
  </si>
  <si>
    <t>L02</t>
  </si>
  <si>
    <t>Existe um registro das atividades de tratamento (o que é feito com cada dado e por quê)?</t>
  </si>
  <si>
    <t>Não existe registro.</t>
  </si>
  <si>
    <t>Criar o registro das atividades de tratamento a partir do mapeamento</t>
  </si>
  <si>
    <t>Encarregado</t>
  </si>
  <si>
    <t>L03</t>
  </si>
  <si>
    <t>Art. 11</t>
  </si>
  <si>
    <t>Os dados pessoais sensíveis (como atestados de saúde de funcionários) estão identificados e protegidos?</t>
  </si>
  <si>
    <t>Atende parcialmente</t>
  </si>
  <si>
    <t>O RH sabe que guarda atestados, mas eles ficam em pasta comum na rede, sem restrição de acesso.</t>
  </si>
  <si>
    <t>Restringir a pasta do RH e registrar esses dados como sensíveis</t>
  </si>
  <si>
    <t>RH + TI</t>
  </si>
  <si>
    <t>30 dias</t>
  </si>
  <si>
    <t>L04</t>
  </si>
  <si>
    <t>2. Bases legais e consentimento</t>
  </si>
  <si>
    <t>Art. 7</t>
  </si>
  <si>
    <t>Cada uso de dados pessoais tem uma base legal definida (contrato, obrigação legal, consentimento etc.)?</t>
  </si>
  <si>
    <t>Nunca foi feita essa análise.</t>
  </si>
  <si>
    <t>Definir a base legal de cada finalidade no registro de tratamento</t>
  </si>
  <si>
    <t>Encarregado + Jurídico</t>
  </si>
  <si>
    <t>L05</t>
  </si>
  <si>
    <t>Art. 8</t>
  </si>
  <si>
    <t>O consentimento para marketing (e-mail e WhatsApp) é livre, claro e registrado?</t>
  </si>
  <si>
    <t>No site, a caixa de aceite já vem marcada. Pelo WhatsApp, o consentimento não é registrado.</t>
  </si>
  <si>
    <t>Deixar a caixa desmarcada e registrar o aceite também no WhatsApp</t>
  </si>
  <si>
    <t>Marketing + TI</t>
  </si>
  <si>
    <t>60 dias</t>
  </si>
  <si>
    <t>L06</t>
  </si>
  <si>
    <t>Art. 6, III</t>
  </si>
  <si>
    <t>A empresa coleta apenas os dados necessários para cada finalidade?</t>
  </si>
  <si>
    <t>O cadastro da newsletter pede CPF e data de nascimento, que não são necessários.</t>
  </si>
  <si>
    <t>Reduzir o cadastro da newsletter a nome e e-mail</t>
  </si>
  <si>
    <t>Marketing</t>
  </si>
  <si>
    <t>L07</t>
  </si>
  <si>
    <t>3. Transparência e direitos dos titulares</t>
  </si>
  <si>
    <t>Art. 9</t>
  </si>
  <si>
    <t>Existe uma política de privacidade publicada, em linguagem clara?</t>
  </si>
  <si>
    <t>Atende</t>
  </si>
  <si>
    <t>Política publicada no site, em linguagem simples.</t>
  </si>
  <si>
    <t>Atualizar a política após o mapeamento de dados</t>
  </si>
  <si>
    <t>Jurídico</t>
  </si>
  <si>
    <t>120 dias</t>
  </si>
  <si>
    <t>L08</t>
  </si>
  <si>
    <t>Art. 18</t>
  </si>
  <si>
    <t>Existe um canal para o cliente pedir acesso, correção ou exclusão dos seus dados?</t>
  </si>
  <si>
    <t>Os pedidos chegam pelo SAC, mas não há um fluxo definido para tratá-los.</t>
  </si>
  <si>
    <t>Criar um formulário próprio e um fluxo de atendimento</t>
  </si>
  <si>
    <t>Encarregado + SAC</t>
  </si>
  <si>
    <t>L09</t>
  </si>
  <si>
    <t>Art. 19</t>
  </si>
  <si>
    <t>Os pedidos dos titulares são respondidos dentro do prazo legal (até 15 dias)?</t>
  </si>
  <si>
    <t>Não há controle de prazo; alguns pedidos ficam sem resposta.</t>
  </si>
  <si>
    <t>Controlar os pedidos em uma planilha ou ferramenta com prazo</t>
  </si>
  <si>
    <t>L10</t>
  </si>
  <si>
    <t>Art. 18, VI</t>
  </si>
  <si>
    <t>Quando o cliente pede exclusão, os dados são apagados em todos os sistemas?</t>
  </si>
  <si>
    <t>O descadastro remove o cliente da newsletter, mas os dados continuam no CRM.</t>
  </si>
  <si>
    <t>Incluir o CRM e as planilhas no procedimento de exclusão</t>
  </si>
  <si>
    <t>TI + SAC</t>
  </si>
  <si>
    <t>L11</t>
  </si>
  <si>
    <t>4. Encarregado (DPO)</t>
  </si>
  <si>
    <t>Art. 41</t>
  </si>
  <si>
    <t>A empresa nomeou um encarregado pelo tratamento de dados pessoais?</t>
  </si>
  <si>
    <t>Ninguém foi nomeado.</t>
  </si>
  <si>
    <t>Nomear um encarregado (interno ou terceirizado)</t>
  </si>
  <si>
    <t>Diretoria</t>
  </si>
  <si>
    <t>L12</t>
  </si>
  <si>
    <t>Art. 41, §1º</t>
  </si>
  <si>
    <t>A identidade e o contato do encarregado estão divulgados no site?</t>
  </si>
  <si>
    <t>Não há essa informação no site.</t>
  </si>
  <si>
    <t>Publicar nome e e-mail do encarregado na política de privacidade</t>
  </si>
  <si>
    <t>Encarregado + Marketing</t>
  </si>
  <si>
    <t>L13</t>
  </si>
  <si>
    <t>5. Segurança da informação</t>
  </si>
  <si>
    <t>Art. 46</t>
  </si>
  <si>
    <t>O acesso aos dados de clientes segue o princípio do menor privilégio (cada um vê só o que precisa)?</t>
  </si>
  <si>
    <t>Todos os atendentes têm o mesmo perfil e podem exportar a base inteira.</t>
  </si>
  <si>
    <t>Criar perfis de acesso por função e revisar a cada 3 meses</t>
  </si>
  <si>
    <t>TI + gestores</t>
  </si>
  <si>
    <t>L14</t>
  </si>
  <si>
    <t>Os sistemas com dados pessoais exigem verificação em duas etapas (MFA)?</t>
  </si>
  <si>
    <t>Nenhum sistema exige MFA.</t>
  </si>
  <si>
    <t>Ativar MFA no e-mail, ERP, CRM e contas da loja</t>
  </si>
  <si>
    <t>TI</t>
  </si>
  <si>
    <t>L15</t>
  </si>
  <si>
    <t>Os backups são protegidos e testados?</t>
  </si>
  <si>
    <t>Backup diário, mas guardado no mesmo servidor e nunca testado.</t>
  </si>
  <si>
    <t>Adotar backup 3-2-1 e testar a restauração todo mês</t>
  </si>
  <si>
    <t>L16</t>
  </si>
  <si>
    <t>Os computadores têm antivírus e atualizações em dia?</t>
  </si>
  <si>
    <t>Antivírus em todas as máquinas, mas as atualizações são irregulares.</t>
  </si>
  <si>
    <t>Criar rotina mensal de atualizações</t>
  </si>
  <si>
    <t>L17</t>
  </si>
  <si>
    <t>É proibido compartilhar planilhas de clientes por canais não autorizados (WhatsApp, e-mail pessoal)?</t>
  </si>
  <si>
    <t>Planilhas de clientes circulam por WhatsApp e e-mail.</t>
  </si>
  <si>
    <t>Proibir por política e oferecer pasta segura para compartilhamento</t>
  </si>
  <si>
    <t>TI + Diretoria</t>
  </si>
  <si>
    <t>L18</t>
  </si>
  <si>
    <t>Os acessos de ex-funcionários são bloqueados no desligamento?</t>
  </si>
  <si>
    <t>O RH avisa o TI por e-mail, mas nem sempre.</t>
  </si>
  <si>
    <t>Criar checklist de desligamento entre RH e TI</t>
  </si>
  <si>
    <t>L19</t>
  </si>
  <si>
    <t>6. Fornecedores e compartilhamento</t>
  </si>
  <si>
    <t>Art. 39</t>
  </si>
  <si>
    <t>Existe uma lista dos fornecedores que tratam dados pessoais em nome da empresa?</t>
  </si>
  <si>
    <t>Os fornecedores são conhecidos (loja virtual, gateway, transportadora, e-mail marketing), mas não há lista formal.</t>
  </si>
  <si>
    <t>Criar a lista e incluí-la no registro de tratamento</t>
  </si>
  <si>
    <t>Encarregado + Compras</t>
  </si>
  <si>
    <t>L20</t>
  </si>
  <si>
    <t>Os contratos com esses fornecedores têm cláusulas de proteção de dados?</t>
  </si>
  <si>
    <t>Todos usam contrato padrão, sem cláusulas de LGPD.</t>
  </si>
  <si>
    <t>Assinar aditivos com cláusulas de proteção de dados</t>
  </si>
  <si>
    <t>180 dias</t>
  </si>
  <si>
    <t>L21</t>
  </si>
  <si>
    <t>Art. 33</t>
  </si>
  <si>
    <t>As transferências de dados para fora do Brasil estão identificadas e amparadas?</t>
  </si>
  <si>
    <t>E-mail e ferramenta de e-mail marketing usam servidores no exterior, sem análise formal.</t>
  </si>
  <si>
    <t>Avaliar as transferências e registrar o mecanismo usado</t>
  </si>
  <si>
    <t>Jurídico + TI</t>
  </si>
  <si>
    <t>L22</t>
  </si>
  <si>
    <t>7. Incidentes de segurança</t>
  </si>
  <si>
    <t>Art. 48</t>
  </si>
  <si>
    <t>Existe um plano de resposta a incidentes com dados pessoais?</t>
  </si>
  <si>
    <t>Não existe plano.</t>
  </si>
  <si>
    <t>Criar o plano com papéis, etapas e contatos</t>
  </si>
  <si>
    <t>L23</t>
  </si>
  <si>
    <t>Existe procedimento para comunicar a ANPD e os titulares quando houver incidente relevante?</t>
  </si>
  <si>
    <t>A empresa não conhece o procedimento nem o prazo (3 dias úteis, segundo a ANPD).</t>
  </si>
  <si>
    <t>Incluir no plano o modelo de comunicação e o prazo</t>
  </si>
  <si>
    <t>L24</t>
  </si>
  <si>
    <t>Os incidentes que acontecem são registrados?</t>
  </si>
  <si>
    <t>Não há registro de incidentes.</t>
  </si>
  <si>
    <t>Criar um registro simples de incidentes</t>
  </si>
  <si>
    <t>L25</t>
  </si>
  <si>
    <t>8. Retenção e descarte</t>
  </si>
  <si>
    <t>Arts. 15 e 16</t>
  </si>
  <si>
    <t>Existem prazos definidos para guardar cada tipo de dado pessoal?</t>
  </si>
  <si>
    <t>Os dados são guardados para sempre.</t>
  </si>
  <si>
    <t>Criar uma tabela de temporalidade (quanto tempo guardar cada dado)</t>
  </si>
  <si>
    <t>L26</t>
  </si>
  <si>
    <t>Art. 16</t>
  </si>
  <si>
    <t>O descarte de documentos e equipamentos é feito de forma segura?</t>
  </si>
  <si>
    <t>Papéis vão para a fragmentadora, mas computadores antigos são doados sem apagar os dados com segurança.</t>
  </si>
  <si>
    <t>Apagar os discos com ferramenta segura antes de doar ou descartar</t>
  </si>
  <si>
    <t>L27</t>
  </si>
  <si>
    <t>9. Treinamento e cultura</t>
  </si>
  <si>
    <t>Art. 50</t>
  </si>
  <si>
    <t>Os funcionários recebem treinamento sobre LGPD e proteção de dados?</t>
  </si>
  <si>
    <t>Nunca houve treinamento.</t>
  </si>
  <si>
    <t>Fazer treinamento anual e incluir no processo de integração</t>
  </si>
  <si>
    <t>RH + Encarregado</t>
  </si>
  <si>
    <t>L28</t>
  </si>
  <si>
    <t>Existe uma política interna de proteção de dados e de uso de IA?</t>
  </si>
  <si>
    <t>Não existe política interna.</t>
  </si>
  <si>
    <t>Publicar política de proteção de dados e de uso de IA</t>
  </si>
  <si>
    <t>L29</t>
  </si>
  <si>
    <t>Art. 47</t>
  </si>
  <si>
    <t>Os funcionários assinam termo de confidencialidade?</t>
  </si>
  <si>
    <t>O termo faz parte do contrato de trabalho.</t>
  </si>
  <si>
    <t>Manter e revisar quando a política interna for publicada</t>
  </si>
  <si>
    <t>RH</t>
  </si>
  <si>
    <t>Contínuo</t>
  </si>
  <si>
    <t>Itens avaliados</t>
  </si>
  <si>
    <t>Conformidade</t>
  </si>
  <si>
    <t>TOTAL GERAL</t>
  </si>
  <si>
    <t>Cálculo: Atende = 1 ponto; Atende parcialmente = 0,5; Não atende = 0. Conformidade = pontos ÷ itens avaliados.</t>
  </si>
  <si>
    <t>Faixas: abaixo de 40% = baixa (vermelho); 40% a 69% = em desenvolvimento (amarelo); 70% ou mais = boa (verde).</t>
  </si>
  <si>
    <t>Amarelo = informação preenchida</t>
  </si>
  <si>
    <t>Cinza = cálculo automático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</si>
</sst>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9C9C"/>
        </patternFill>
      </fill>
    </dxf>
    <dxf>
      <font>
        <b/>
        <name val="Arial"/>
        <charset val="1"/>
      </font>
      <fill>
        <patternFill>
          <bgColor rgb="FFFF9C9C"/>
        </patternFill>
      </fill>
    </dxf>
    <dxf>
      <font>
        <b/>
        <name val="Arial"/>
        <charset val="1"/>
      </font>
      <fill>
        <patternFill>
          <bgColor rgb="FFFFEB9C"/>
        </patternFill>
      </fill>
    </dxf>
    <dxf>
      <font>
        <b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C9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zoomScaleNormal="100" workbookViewId="0">
      <selection activeCell="A15" sqref="A15"/>
    </sheetView>
  </sheetViews>
  <sheetFormatPr defaultColWidth="8.7109375" defaultRowHeight="15" x14ac:dyDescent="0.25"/>
  <cols>
    <col min="1" max="1" width="110" customWidth="1"/>
  </cols>
  <sheetData>
    <row r="1" spans="1:1" ht="36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ht="15.75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/>
    </row>
    <row r="11" spans="1:1" ht="15.75" x14ac:dyDescent="0.25">
      <c r="A11" s="3" t="s">
        <v>8</v>
      </c>
    </row>
    <row r="12" spans="1:1" x14ac:dyDescent="0.25">
      <c r="A12" s="4" t="s">
        <v>195</v>
      </c>
    </row>
    <row r="13" spans="1:1" x14ac:dyDescent="0.25">
      <c r="A13" s="5" t="s">
        <v>196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109375" defaultRowHeight="15" x14ac:dyDescent="0.25"/>
  <cols>
    <col min="1" max="1" width="7" customWidth="1"/>
    <col min="2" max="2" width="24" customWidth="1"/>
    <col min="3" max="3" width="12" customWidth="1"/>
    <col min="4" max="4" width="50" customWidth="1"/>
    <col min="5" max="5" width="18" customWidth="1"/>
    <col min="6" max="6" width="8" customWidth="1"/>
    <col min="7" max="7" width="50" customWidth="1"/>
    <col min="8" max="8" width="45" customWidth="1"/>
    <col min="9" max="9" width="22" customWidth="1"/>
    <col min="10" max="10" width="10" customWidth="1"/>
  </cols>
  <sheetData>
    <row r="1" spans="1:10" ht="31.5" customHeight="1" x14ac:dyDescent="0.2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</row>
    <row r="2" spans="1:10" ht="48" customHeight="1" x14ac:dyDescent="0.25">
      <c r="A2" s="7" t="s">
        <v>19</v>
      </c>
      <c r="B2" s="8" t="s">
        <v>20</v>
      </c>
      <c r="C2" s="9" t="s">
        <v>21</v>
      </c>
      <c r="D2" s="8" t="s">
        <v>22</v>
      </c>
      <c r="E2" s="9" t="s">
        <v>23</v>
      </c>
      <c r="F2" s="7">
        <f t="shared" ref="F2:F30" si="0">IF(E2="Atende",1,IF(E2="Atende parcialmente",0.5,IF(E2="Não atende",0,"")))</f>
        <v>0</v>
      </c>
      <c r="G2" s="8" t="s">
        <v>24</v>
      </c>
      <c r="H2" s="8" t="s">
        <v>25</v>
      </c>
      <c r="I2" s="8" t="s">
        <v>26</v>
      </c>
      <c r="J2" s="9" t="s">
        <v>27</v>
      </c>
    </row>
    <row r="3" spans="1:10" ht="48" customHeight="1" x14ac:dyDescent="0.25">
      <c r="A3" s="7" t="s">
        <v>28</v>
      </c>
      <c r="B3" s="8" t="s">
        <v>20</v>
      </c>
      <c r="C3" s="9" t="s">
        <v>21</v>
      </c>
      <c r="D3" s="8" t="s">
        <v>29</v>
      </c>
      <c r="E3" s="9" t="s">
        <v>23</v>
      </c>
      <c r="F3" s="7">
        <f t="shared" si="0"/>
        <v>0</v>
      </c>
      <c r="G3" s="8" t="s">
        <v>30</v>
      </c>
      <c r="H3" s="8" t="s">
        <v>31</v>
      </c>
      <c r="I3" s="8" t="s">
        <v>32</v>
      </c>
      <c r="J3" s="9" t="s">
        <v>27</v>
      </c>
    </row>
    <row r="4" spans="1:10" ht="48" customHeight="1" x14ac:dyDescent="0.25">
      <c r="A4" s="7" t="s">
        <v>33</v>
      </c>
      <c r="B4" s="8" t="s">
        <v>20</v>
      </c>
      <c r="C4" s="9" t="s">
        <v>34</v>
      </c>
      <c r="D4" s="8" t="s">
        <v>35</v>
      </c>
      <c r="E4" s="9" t="s">
        <v>36</v>
      </c>
      <c r="F4" s="7">
        <f t="shared" si="0"/>
        <v>0.5</v>
      </c>
      <c r="G4" s="8" t="s">
        <v>37</v>
      </c>
      <c r="H4" s="8" t="s">
        <v>38</v>
      </c>
      <c r="I4" s="8" t="s">
        <v>39</v>
      </c>
      <c r="J4" s="9" t="s">
        <v>40</v>
      </c>
    </row>
    <row r="5" spans="1:10" ht="48" customHeight="1" x14ac:dyDescent="0.25">
      <c r="A5" s="7" t="s">
        <v>41</v>
      </c>
      <c r="B5" s="8" t="s">
        <v>42</v>
      </c>
      <c r="C5" s="9" t="s">
        <v>43</v>
      </c>
      <c r="D5" s="8" t="s">
        <v>44</v>
      </c>
      <c r="E5" s="9" t="s">
        <v>23</v>
      </c>
      <c r="F5" s="7">
        <f t="shared" si="0"/>
        <v>0</v>
      </c>
      <c r="G5" s="8" t="s">
        <v>45</v>
      </c>
      <c r="H5" s="8" t="s">
        <v>46</v>
      </c>
      <c r="I5" s="8" t="s">
        <v>47</v>
      </c>
      <c r="J5" s="9" t="s">
        <v>27</v>
      </c>
    </row>
    <row r="6" spans="1:10" ht="48" customHeight="1" x14ac:dyDescent="0.25">
      <c r="A6" s="7" t="s">
        <v>48</v>
      </c>
      <c r="B6" s="8" t="s">
        <v>42</v>
      </c>
      <c r="C6" s="9" t="s">
        <v>49</v>
      </c>
      <c r="D6" s="8" t="s">
        <v>50</v>
      </c>
      <c r="E6" s="9" t="s">
        <v>36</v>
      </c>
      <c r="F6" s="7">
        <f t="shared" si="0"/>
        <v>0.5</v>
      </c>
      <c r="G6" s="8" t="s">
        <v>51</v>
      </c>
      <c r="H6" s="8" t="s">
        <v>52</v>
      </c>
      <c r="I6" s="8" t="s">
        <v>53</v>
      </c>
      <c r="J6" s="9" t="s">
        <v>54</v>
      </c>
    </row>
    <row r="7" spans="1:10" ht="48" customHeight="1" x14ac:dyDescent="0.25">
      <c r="A7" s="7" t="s">
        <v>55</v>
      </c>
      <c r="B7" s="8" t="s">
        <v>42</v>
      </c>
      <c r="C7" s="9" t="s">
        <v>56</v>
      </c>
      <c r="D7" s="8" t="s">
        <v>57</v>
      </c>
      <c r="E7" s="9" t="s">
        <v>36</v>
      </c>
      <c r="F7" s="7">
        <f t="shared" si="0"/>
        <v>0.5</v>
      </c>
      <c r="G7" s="8" t="s">
        <v>58</v>
      </c>
      <c r="H7" s="8" t="s">
        <v>59</v>
      </c>
      <c r="I7" s="8" t="s">
        <v>60</v>
      </c>
      <c r="J7" s="9" t="s">
        <v>40</v>
      </c>
    </row>
    <row r="8" spans="1:10" ht="48" customHeight="1" x14ac:dyDescent="0.25">
      <c r="A8" s="7" t="s">
        <v>61</v>
      </c>
      <c r="B8" s="8" t="s">
        <v>62</v>
      </c>
      <c r="C8" s="9" t="s">
        <v>63</v>
      </c>
      <c r="D8" s="8" t="s">
        <v>64</v>
      </c>
      <c r="E8" s="9" t="s">
        <v>65</v>
      </c>
      <c r="F8" s="7">
        <f t="shared" si="0"/>
        <v>1</v>
      </c>
      <c r="G8" s="8" t="s">
        <v>66</v>
      </c>
      <c r="H8" s="8" t="s">
        <v>67</v>
      </c>
      <c r="I8" s="8" t="s">
        <v>68</v>
      </c>
      <c r="J8" s="9" t="s">
        <v>69</v>
      </c>
    </row>
    <row r="9" spans="1:10" ht="48" customHeight="1" x14ac:dyDescent="0.25">
      <c r="A9" s="7" t="s">
        <v>70</v>
      </c>
      <c r="B9" s="8" t="s">
        <v>62</v>
      </c>
      <c r="C9" s="9" t="s">
        <v>71</v>
      </c>
      <c r="D9" s="8" t="s">
        <v>72</v>
      </c>
      <c r="E9" s="9" t="s">
        <v>36</v>
      </c>
      <c r="F9" s="7">
        <f t="shared" si="0"/>
        <v>0.5</v>
      </c>
      <c r="G9" s="8" t="s">
        <v>73</v>
      </c>
      <c r="H9" s="8" t="s">
        <v>74</v>
      </c>
      <c r="I9" s="8" t="s">
        <v>75</v>
      </c>
      <c r="J9" s="9" t="s">
        <v>54</v>
      </c>
    </row>
    <row r="10" spans="1:10" ht="48" customHeight="1" x14ac:dyDescent="0.25">
      <c r="A10" s="7" t="s">
        <v>76</v>
      </c>
      <c r="B10" s="8" t="s">
        <v>62</v>
      </c>
      <c r="C10" s="9" t="s">
        <v>77</v>
      </c>
      <c r="D10" s="8" t="s">
        <v>78</v>
      </c>
      <c r="E10" s="9" t="s">
        <v>23</v>
      </c>
      <c r="F10" s="7">
        <f t="shared" si="0"/>
        <v>0</v>
      </c>
      <c r="G10" s="8" t="s">
        <v>79</v>
      </c>
      <c r="H10" s="8" t="s">
        <v>80</v>
      </c>
      <c r="I10" s="8" t="s">
        <v>75</v>
      </c>
      <c r="J10" s="9" t="s">
        <v>54</v>
      </c>
    </row>
    <row r="11" spans="1:10" ht="48" customHeight="1" x14ac:dyDescent="0.25">
      <c r="A11" s="7" t="s">
        <v>81</v>
      </c>
      <c r="B11" s="8" t="s">
        <v>62</v>
      </c>
      <c r="C11" s="9" t="s">
        <v>82</v>
      </c>
      <c r="D11" s="8" t="s">
        <v>83</v>
      </c>
      <c r="E11" s="9" t="s">
        <v>36</v>
      </c>
      <c r="F11" s="7">
        <f t="shared" si="0"/>
        <v>0.5</v>
      </c>
      <c r="G11" s="8" t="s">
        <v>84</v>
      </c>
      <c r="H11" s="8" t="s">
        <v>85</v>
      </c>
      <c r="I11" s="8" t="s">
        <v>86</v>
      </c>
      <c r="J11" s="9" t="s">
        <v>27</v>
      </c>
    </row>
    <row r="12" spans="1:10" ht="48" customHeight="1" x14ac:dyDescent="0.25">
      <c r="A12" s="7" t="s">
        <v>87</v>
      </c>
      <c r="B12" s="8" t="s">
        <v>88</v>
      </c>
      <c r="C12" s="9" t="s">
        <v>89</v>
      </c>
      <c r="D12" s="8" t="s">
        <v>90</v>
      </c>
      <c r="E12" s="9" t="s">
        <v>23</v>
      </c>
      <c r="F12" s="7">
        <f t="shared" si="0"/>
        <v>0</v>
      </c>
      <c r="G12" s="8" t="s">
        <v>91</v>
      </c>
      <c r="H12" s="8" t="s">
        <v>92</v>
      </c>
      <c r="I12" s="8" t="s">
        <v>93</v>
      </c>
      <c r="J12" s="9" t="s">
        <v>40</v>
      </c>
    </row>
    <row r="13" spans="1:10" ht="48" customHeight="1" x14ac:dyDescent="0.25">
      <c r="A13" s="7" t="s">
        <v>94</v>
      </c>
      <c r="B13" s="8" t="s">
        <v>88</v>
      </c>
      <c r="C13" s="9" t="s">
        <v>95</v>
      </c>
      <c r="D13" s="8" t="s">
        <v>96</v>
      </c>
      <c r="E13" s="9" t="s">
        <v>23</v>
      </c>
      <c r="F13" s="7">
        <f t="shared" si="0"/>
        <v>0</v>
      </c>
      <c r="G13" s="8" t="s">
        <v>97</v>
      </c>
      <c r="H13" s="8" t="s">
        <v>98</v>
      </c>
      <c r="I13" s="8" t="s">
        <v>99</v>
      </c>
      <c r="J13" s="9" t="s">
        <v>40</v>
      </c>
    </row>
    <row r="14" spans="1:10" ht="48" customHeight="1" x14ac:dyDescent="0.25">
      <c r="A14" s="7" t="s">
        <v>100</v>
      </c>
      <c r="B14" s="8" t="s">
        <v>101</v>
      </c>
      <c r="C14" s="9" t="s">
        <v>102</v>
      </c>
      <c r="D14" s="8" t="s">
        <v>103</v>
      </c>
      <c r="E14" s="9" t="s">
        <v>23</v>
      </c>
      <c r="F14" s="7">
        <f t="shared" si="0"/>
        <v>0</v>
      </c>
      <c r="G14" s="8" t="s">
        <v>104</v>
      </c>
      <c r="H14" s="8" t="s">
        <v>105</v>
      </c>
      <c r="I14" s="8" t="s">
        <v>106</v>
      </c>
      <c r="J14" s="9" t="s">
        <v>54</v>
      </c>
    </row>
    <row r="15" spans="1:10" ht="48" customHeight="1" x14ac:dyDescent="0.25">
      <c r="A15" s="7" t="s">
        <v>107</v>
      </c>
      <c r="B15" s="8" t="s">
        <v>101</v>
      </c>
      <c r="C15" s="9" t="s">
        <v>102</v>
      </c>
      <c r="D15" s="8" t="s">
        <v>108</v>
      </c>
      <c r="E15" s="9" t="s">
        <v>23</v>
      </c>
      <c r="F15" s="7">
        <f t="shared" si="0"/>
        <v>0</v>
      </c>
      <c r="G15" s="8" t="s">
        <v>109</v>
      </c>
      <c r="H15" s="8" t="s">
        <v>110</v>
      </c>
      <c r="I15" s="8" t="s">
        <v>111</v>
      </c>
      <c r="J15" s="9" t="s">
        <v>40</v>
      </c>
    </row>
    <row r="16" spans="1:10" ht="48" customHeight="1" x14ac:dyDescent="0.25">
      <c r="A16" s="7" t="s">
        <v>112</v>
      </c>
      <c r="B16" s="8" t="s">
        <v>101</v>
      </c>
      <c r="C16" s="9" t="s">
        <v>102</v>
      </c>
      <c r="D16" s="8" t="s">
        <v>113</v>
      </c>
      <c r="E16" s="9" t="s">
        <v>36</v>
      </c>
      <c r="F16" s="7">
        <f t="shared" si="0"/>
        <v>0.5</v>
      </c>
      <c r="G16" s="8" t="s">
        <v>114</v>
      </c>
      <c r="H16" s="8" t="s">
        <v>115</v>
      </c>
      <c r="I16" s="8" t="s">
        <v>111</v>
      </c>
      <c r="J16" s="9" t="s">
        <v>54</v>
      </c>
    </row>
    <row r="17" spans="1:10" ht="48" customHeight="1" x14ac:dyDescent="0.25">
      <c r="A17" s="7" t="s">
        <v>116</v>
      </c>
      <c r="B17" s="8" t="s">
        <v>101</v>
      </c>
      <c r="C17" s="9" t="s">
        <v>102</v>
      </c>
      <c r="D17" s="8" t="s">
        <v>117</v>
      </c>
      <c r="E17" s="9" t="s">
        <v>36</v>
      </c>
      <c r="F17" s="7">
        <f t="shared" si="0"/>
        <v>0.5</v>
      </c>
      <c r="G17" s="8" t="s">
        <v>118</v>
      </c>
      <c r="H17" s="8" t="s">
        <v>119</v>
      </c>
      <c r="I17" s="8" t="s">
        <v>111</v>
      </c>
      <c r="J17" s="9" t="s">
        <v>40</v>
      </c>
    </row>
    <row r="18" spans="1:10" ht="48" customHeight="1" x14ac:dyDescent="0.25">
      <c r="A18" s="7" t="s">
        <v>120</v>
      </c>
      <c r="B18" s="8" t="s">
        <v>101</v>
      </c>
      <c r="C18" s="9" t="s">
        <v>102</v>
      </c>
      <c r="D18" s="8" t="s">
        <v>121</v>
      </c>
      <c r="E18" s="9" t="s">
        <v>23</v>
      </c>
      <c r="F18" s="7">
        <f t="shared" si="0"/>
        <v>0</v>
      </c>
      <c r="G18" s="8" t="s">
        <v>122</v>
      </c>
      <c r="H18" s="8" t="s">
        <v>123</v>
      </c>
      <c r="I18" s="8" t="s">
        <v>124</v>
      </c>
      <c r="J18" s="9" t="s">
        <v>40</v>
      </c>
    </row>
    <row r="19" spans="1:10" ht="48" customHeight="1" x14ac:dyDescent="0.25">
      <c r="A19" s="7" t="s">
        <v>125</v>
      </c>
      <c r="B19" s="8" t="s">
        <v>101</v>
      </c>
      <c r="C19" s="9" t="s">
        <v>102</v>
      </c>
      <c r="D19" s="8" t="s">
        <v>126</v>
      </c>
      <c r="E19" s="9" t="s">
        <v>36</v>
      </c>
      <c r="F19" s="7">
        <f t="shared" si="0"/>
        <v>0.5</v>
      </c>
      <c r="G19" s="8" t="s">
        <v>127</v>
      </c>
      <c r="H19" s="8" t="s">
        <v>128</v>
      </c>
      <c r="I19" s="8" t="s">
        <v>39</v>
      </c>
      <c r="J19" s="9" t="s">
        <v>40</v>
      </c>
    </row>
    <row r="20" spans="1:10" ht="48" customHeight="1" x14ac:dyDescent="0.25">
      <c r="A20" s="7" t="s">
        <v>129</v>
      </c>
      <c r="B20" s="8" t="s">
        <v>130</v>
      </c>
      <c r="C20" s="9" t="s">
        <v>131</v>
      </c>
      <c r="D20" s="8" t="s">
        <v>132</v>
      </c>
      <c r="E20" s="9" t="s">
        <v>36</v>
      </c>
      <c r="F20" s="7">
        <f t="shared" si="0"/>
        <v>0.5</v>
      </c>
      <c r="G20" s="8" t="s">
        <v>133</v>
      </c>
      <c r="H20" s="8" t="s">
        <v>134</v>
      </c>
      <c r="I20" s="8" t="s">
        <v>135</v>
      </c>
      <c r="J20" s="9" t="s">
        <v>54</v>
      </c>
    </row>
    <row r="21" spans="1:10" ht="48" customHeight="1" x14ac:dyDescent="0.25">
      <c r="A21" s="7" t="s">
        <v>136</v>
      </c>
      <c r="B21" s="8" t="s">
        <v>130</v>
      </c>
      <c r="C21" s="9" t="s">
        <v>131</v>
      </c>
      <c r="D21" s="8" t="s">
        <v>137</v>
      </c>
      <c r="E21" s="9" t="s">
        <v>23</v>
      </c>
      <c r="F21" s="7">
        <f t="shared" si="0"/>
        <v>0</v>
      </c>
      <c r="G21" s="8" t="s">
        <v>138</v>
      </c>
      <c r="H21" s="8" t="s">
        <v>139</v>
      </c>
      <c r="I21" s="8" t="s">
        <v>68</v>
      </c>
      <c r="J21" s="9" t="s">
        <v>140</v>
      </c>
    </row>
    <row r="22" spans="1:10" ht="48" customHeight="1" x14ac:dyDescent="0.25">
      <c r="A22" s="7" t="s">
        <v>141</v>
      </c>
      <c r="B22" s="8" t="s">
        <v>130</v>
      </c>
      <c r="C22" s="9" t="s">
        <v>142</v>
      </c>
      <c r="D22" s="8" t="s">
        <v>143</v>
      </c>
      <c r="E22" s="9" t="s">
        <v>36</v>
      </c>
      <c r="F22" s="7">
        <f t="shared" si="0"/>
        <v>0.5</v>
      </c>
      <c r="G22" s="8" t="s">
        <v>144</v>
      </c>
      <c r="H22" s="8" t="s">
        <v>145</v>
      </c>
      <c r="I22" s="8" t="s">
        <v>146</v>
      </c>
      <c r="J22" s="9" t="s">
        <v>140</v>
      </c>
    </row>
    <row r="23" spans="1:10" ht="48" customHeight="1" x14ac:dyDescent="0.25">
      <c r="A23" s="7" t="s">
        <v>147</v>
      </c>
      <c r="B23" s="8" t="s">
        <v>148</v>
      </c>
      <c r="C23" s="9" t="s">
        <v>149</v>
      </c>
      <c r="D23" s="8" t="s">
        <v>150</v>
      </c>
      <c r="E23" s="9" t="s">
        <v>23</v>
      </c>
      <c r="F23" s="7">
        <f t="shared" si="0"/>
        <v>0</v>
      </c>
      <c r="G23" s="8" t="s">
        <v>151</v>
      </c>
      <c r="H23" s="8" t="s">
        <v>152</v>
      </c>
      <c r="I23" s="8" t="s">
        <v>26</v>
      </c>
      <c r="J23" s="9" t="s">
        <v>27</v>
      </c>
    </row>
    <row r="24" spans="1:10" ht="48" customHeight="1" x14ac:dyDescent="0.25">
      <c r="A24" s="7" t="s">
        <v>153</v>
      </c>
      <c r="B24" s="8" t="s">
        <v>148</v>
      </c>
      <c r="C24" s="9" t="s">
        <v>149</v>
      </c>
      <c r="D24" s="8" t="s">
        <v>154</v>
      </c>
      <c r="E24" s="9" t="s">
        <v>23</v>
      </c>
      <c r="F24" s="7">
        <f t="shared" si="0"/>
        <v>0</v>
      </c>
      <c r="G24" s="8" t="s">
        <v>155</v>
      </c>
      <c r="H24" s="8" t="s">
        <v>156</v>
      </c>
      <c r="I24" s="8" t="s">
        <v>47</v>
      </c>
      <c r="J24" s="9" t="s">
        <v>27</v>
      </c>
    </row>
    <row r="25" spans="1:10" ht="48" customHeight="1" x14ac:dyDescent="0.25">
      <c r="A25" s="7" t="s">
        <v>157</v>
      </c>
      <c r="B25" s="8" t="s">
        <v>148</v>
      </c>
      <c r="C25" s="9" t="s">
        <v>149</v>
      </c>
      <c r="D25" s="8" t="s">
        <v>158</v>
      </c>
      <c r="E25" s="9" t="s">
        <v>23</v>
      </c>
      <c r="F25" s="7">
        <f t="shared" si="0"/>
        <v>0</v>
      </c>
      <c r="G25" s="8" t="s">
        <v>159</v>
      </c>
      <c r="H25" s="8" t="s">
        <v>160</v>
      </c>
      <c r="I25" s="8" t="s">
        <v>111</v>
      </c>
      <c r="J25" s="9" t="s">
        <v>54</v>
      </c>
    </row>
    <row r="26" spans="1:10" ht="48" customHeight="1" x14ac:dyDescent="0.25">
      <c r="A26" s="7" t="s">
        <v>161</v>
      </c>
      <c r="B26" s="8" t="s">
        <v>162</v>
      </c>
      <c r="C26" s="9" t="s">
        <v>163</v>
      </c>
      <c r="D26" s="8" t="s">
        <v>164</v>
      </c>
      <c r="E26" s="9" t="s">
        <v>23</v>
      </c>
      <c r="F26" s="7">
        <f t="shared" si="0"/>
        <v>0</v>
      </c>
      <c r="G26" s="8" t="s">
        <v>165</v>
      </c>
      <c r="H26" s="8" t="s">
        <v>166</v>
      </c>
      <c r="I26" s="8" t="s">
        <v>47</v>
      </c>
      <c r="J26" s="9" t="s">
        <v>69</v>
      </c>
    </row>
    <row r="27" spans="1:10" ht="48" customHeight="1" x14ac:dyDescent="0.25">
      <c r="A27" s="7" t="s">
        <v>167</v>
      </c>
      <c r="B27" s="8" t="s">
        <v>162</v>
      </c>
      <c r="C27" s="9" t="s">
        <v>168</v>
      </c>
      <c r="D27" s="8" t="s">
        <v>169</v>
      </c>
      <c r="E27" s="9" t="s">
        <v>36</v>
      </c>
      <c r="F27" s="7">
        <f t="shared" si="0"/>
        <v>0.5</v>
      </c>
      <c r="G27" s="8" t="s">
        <v>170</v>
      </c>
      <c r="H27" s="8" t="s">
        <v>171</v>
      </c>
      <c r="I27" s="8" t="s">
        <v>111</v>
      </c>
      <c r="J27" s="9" t="s">
        <v>40</v>
      </c>
    </row>
    <row r="28" spans="1:10" ht="48" customHeight="1" x14ac:dyDescent="0.25">
      <c r="A28" s="7" t="s">
        <v>172</v>
      </c>
      <c r="B28" s="8" t="s">
        <v>173</v>
      </c>
      <c r="C28" s="9" t="s">
        <v>174</v>
      </c>
      <c r="D28" s="8" t="s">
        <v>175</v>
      </c>
      <c r="E28" s="9" t="s">
        <v>23</v>
      </c>
      <c r="F28" s="7">
        <f t="shared" si="0"/>
        <v>0</v>
      </c>
      <c r="G28" s="8" t="s">
        <v>176</v>
      </c>
      <c r="H28" s="8" t="s">
        <v>177</v>
      </c>
      <c r="I28" s="8" t="s">
        <v>178</v>
      </c>
      <c r="J28" s="9" t="s">
        <v>27</v>
      </c>
    </row>
    <row r="29" spans="1:10" ht="48" customHeight="1" x14ac:dyDescent="0.25">
      <c r="A29" s="7" t="s">
        <v>179</v>
      </c>
      <c r="B29" s="8" t="s">
        <v>173</v>
      </c>
      <c r="C29" s="9" t="s">
        <v>174</v>
      </c>
      <c r="D29" s="8" t="s">
        <v>180</v>
      </c>
      <c r="E29" s="9" t="s">
        <v>23</v>
      </c>
      <c r="F29" s="7">
        <f t="shared" si="0"/>
        <v>0</v>
      </c>
      <c r="G29" s="8" t="s">
        <v>181</v>
      </c>
      <c r="H29" s="8" t="s">
        <v>182</v>
      </c>
      <c r="I29" s="8" t="s">
        <v>26</v>
      </c>
      <c r="J29" s="9" t="s">
        <v>54</v>
      </c>
    </row>
    <row r="30" spans="1:10" ht="48" customHeight="1" x14ac:dyDescent="0.25">
      <c r="A30" s="7" t="s">
        <v>183</v>
      </c>
      <c r="B30" s="8" t="s">
        <v>173</v>
      </c>
      <c r="C30" s="9" t="s">
        <v>184</v>
      </c>
      <c r="D30" s="8" t="s">
        <v>185</v>
      </c>
      <c r="E30" s="9" t="s">
        <v>65</v>
      </c>
      <c r="F30" s="7">
        <f t="shared" si="0"/>
        <v>1</v>
      </c>
      <c r="G30" s="8" t="s">
        <v>186</v>
      </c>
      <c r="H30" s="8" t="s">
        <v>187</v>
      </c>
      <c r="I30" s="8" t="s">
        <v>188</v>
      </c>
      <c r="J30" s="9" t="s">
        <v>189</v>
      </c>
    </row>
  </sheetData>
  <autoFilter ref="A1:J30" xr:uid="{00000000-0009-0000-0000-000001000000}"/>
  <conditionalFormatting sqref="E2:E30">
    <cfRule type="cellIs" dxfId="5" priority="2" operator="equal">
      <formula>"Atende"</formula>
    </cfRule>
    <cfRule type="cellIs" dxfId="4" priority="3" operator="equal">
      <formula>"Atende parcialmente"</formula>
    </cfRule>
    <cfRule type="cellIs" dxfId="3" priority="4" operator="equal">
      <formula>"Não atende"</formula>
    </cfRule>
  </conditionalFormatting>
  <dataValidations count="1">
    <dataValidation type="list" allowBlank="1" sqref="E2:E30" xr:uid="{00000000-0002-0000-0100-000000000000}">
      <formula1>"Atende,Atende parcialmente,Não atende,Não se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Normal="100" workbookViewId="0"/>
  </sheetViews>
  <sheetFormatPr defaultColWidth="8.7109375" defaultRowHeight="15" x14ac:dyDescent="0.25"/>
  <cols>
    <col min="1" max="1" width="38" customWidth="1"/>
    <col min="2" max="2" width="14" customWidth="1"/>
    <col min="3" max="3" width="12" customWidth="1"/>
    <col min="4" max="4" width="16" customWidth="1"/>
    <col min="5" max="5" width="12" customWidth="1"/>
    <col min="6" max="6" width="14" customWidth="1"/>
  </cols>
  <sheetData>
    <row r="1" spans="1:6" ht="30" x14ac:dyDescent="0.25">
      <c r="A1" s="6" t="s">
        <v>10</v>
      </c>
      <c r="B1" s="6" t="s">
        <v>190</v>
      </c>
      <c r="C1" s="6" t="s">
        <v>65</v>
      </c>
      <c r="D1" s="6" t="s">
        <v>36</v>
      </c>
      <c r="E1" s="6" t="s">
        <v>23</v>
      </c>
      <c r="F1" s="6" t="s">
        <v>191</v>
      </c>
    </row>
    <row r="2" spans="1:6" x14ac:dyDescent="0.25">
      <c r="A2" s="10" t="s">
        <v>20</v>
      </c>
      <c r="B2" s="7">
        <f>COUNTIFS(Checklist!$B$2:$B$30,A2,Checklist!$E$2:$E$30,"&lt;&gt;Não se aplica",Checklist!$E$2:$E$30,"&lt;&gt;")</f>
        <v>3</v>
      </c>
      <c r="C2" s="7">
        <f>COUNTIFS(Checklist!$B$2:$B$30,A2,Checklist!$E$2:$E$30,"Atende")</f>
        <v>0</v>
      </c>
      <c r="D2" s="7">
        <f>COUNTIFS(Checklist!$B$2:$B$30,A2,Checklist!$E$2:$E$30,"Atende parcialmente")</f>
        <v>1</v>
      </c>
      <c r="E2" s="7">
        <f>COUNTIFS(Checklist!$B$2:$B$30,A2,Checklist!$E$2:$E$30,"Não atende")</f>
        <v>2</v>
      </c>
      <c r="F2" s="11">
        <f>IF(B2=0,"",SUMIF(Checklist!$B$2:$B$30,A2,Checklist!$F$2:$F$30)/B2)</f>
        <v>0.16666666666666666</v>
      </c>
    </row>
    <row r="3" spans="1:6" x14ac:dyDescent="0.25">
      <c r="A3" s="10" t="s">
        <v>42</v>
      </c>
      <c r="B3" s="7">
        <f>COUNTIFS(Checklist!$B$2:$B$30,A3,Checklist!$E$2:$E$30,"&lt;&gt;Não se aplica",Checklist!$E$2:$E$30,"&lt;&gt;")</f>
        <v>3</v>
      </c>
      <c r="C3" s="7">
        <f>COUNTIFS(Checklist!$B$2:$B$30,A3,Checklist!$E$2:$E$30,"Atende")</f>
        <v>0</v>
      </c>
      <c r="D3" s="7">
        <f>COUNTIFS(Checklist!$B$2:$B$30,A3,Checklist!$E$2:$E$30,"Atende parcialmente")</f>
        <v>2</v>
      </c>
      <c r="E3" s="7">
        <f>COUNTIFS(Checklist!$B$2:$B$30,A3,Checklist!$E$2:$E$30,"Não atende")</f>
        <v>1</v>
      </c>
      <c r="F3" s="11">
        <f>IF(B3=0,"",SUMIF(Checklist!$B$2:$B$30,A3,Checklist!$F$2:$F$30)/B3)</f>
        <v>0.33333333333333331</v>
      </c>
    </row>
    <row r="4" spans="1:6" x14ac:dyDescent="0.25">
      <c r="A4" s="10" t="s">
        <v>62</v>
      </c>
      <c r="B4" s="7">
        <f>COUNTIFS(Checklist!$B$2:$B$30,A4,Checklist!$E$2:$E$30,"&lt;&gt;Não se aplica",Checklist!$E$2:$E$30,"&lt;&gt;")</f>
        <v>4</v>
      </c>
      <c r="C4" s="7">
        <f>COUNTIFS(Checklist!$B$2:$B$30,A4,Checklist!$E$2:$E$30,"Atende")</f>
        <v>1</v>
      </c>
      <c r="D4" s="7">
        <f>COUNTIFS(Checklist!$B$2:$B$30,A4,Checklist!$E$2:$E$30,"Atende parcialmente")</f>
        <v>2</v>
      </c>
      <c r="E4" s="7">
        <f>COUNTIFS(Checklist!$B$2:$B$30,A4,Checklist!$E$2:$E$30,"Não atende")</f>
        <v>1</v>
      </c>
      <c r="F4" s="11">
        <f>IF(B4=0,"",SUMIF(Checklist!$B$2:$B$30,A4,Checklist!$F$2:$F$30)/B4)</f>
        <v>0.5</v>
      </c>
    </row>
    <row r="5" spans="1:6" x14ac:dyDescent="0.25">
      <c r="A5" s="10" t="s">
        <v>88</v>
      </c>
      <c r="B5" s="7">
        <f>COUNTIFS(Checklist!$B$2:$B$30,A5,Checklist!$E$2:$E$30,"&lt;&gt;Não se aplica",Checklist!$E$2:$E$30,"&lt;&gt;")</f>
        <v>2</v>
      </c>
      <c r="C5" s="7">
        <f>COUNTIFS(Checklist!$B$2:$B$30,A5,Checklist!$E$2:$E$30,"Atende")</f>
        <v>0</v>
      </c>
      <c r="D5" s="7">
        <f>COUNTIFS(Checklist!$B$2:$B$30,A5,Checklist!$E$2:$E$30,"Atende parcialmente")</f>
        <v>0</v>
      </c>
      <c r="E5" s="7">
        <f>COUNTIFS(Checklist!$B$2:$B$30,A5,Checklist!$E$2:$E$30,"Não atende")</f>
        <v>2</v>
      </c>
      <c r="F5" s="11">
        <f>IF(B5=0,"",SUMIF(Checklist!$B$2:$B$30,A5,Checklist!$F$2:$F$30)/B5)</f>
        <v>0</v>
      </c>
    </row>
    <row r="6" spans="1:6" x14ac:dyDescent="0.25">
      <c r="A6" s="10" t="s">
        <v>101</v>
      </c>
      <c r="B6" s="7">
        <f>COUNTIFS(Checklist!$B$2:$B$30,A6,Checklist!$E$2:$E$30,"&lt;&gt;Não se aplica",Checklist!$E$2:$E$30,"&lt;&gt;")</f>
        <v>6</v>
      </c>
      <c r="C6" s="7">
        <f>COUNTIFS(Checklist!$B$2:$B$30,A6,Checklist!$E$2:$E$30,"Atende")</f>
        <v>0</v>
      </c>
      <c r="D6" s="7">
        <f>COUNTIFS(Checklist!$B$2:$B$30,A6,Checklist!$E$2:$E$30,"Atende parcialmente")</f>
        <v>3</v>
      </c>
      <c r="E6" s="7">
        <f>COUNTIFS(Checklist!$B$2:$B$30,A6,Checklist!$E$2:$E$30,"Não atende")</f>
        <v>3</v>
      </c>
      <c r="F6" s="11">
        <f>IF(B6=0,"",SUMIF(Checklist!$B$2:$B$30,A6,Checklist!$F$2:$F$30)/B6)</f>
        <v>0.25</v>
      </c>
    </row>
    <row r="7" spans="1:6" x14ac:dyDescent="0.25">
      <c r="A7" s="10" t="s">
        <v>130</v>
      </c>
      <c r="B7" s="7">
        <f>COUNTIFS(Checklist!$B$2:$B$30,A7,Checklist!$E$2:$E$30,"&lt;&gt;Não se aplica",Checklist!$E$2:$E$30,"&lt;&gt;")</f>
        <v>3</v>
      </c>
      <c r="C7" s="7">
        <f>COUNTIFS(Checklist!$B$2:$B$30,A7,Checklist!$E$2:$E$30,"Atende")</f>
        <v>0</v>
      </c>
      <c r="D7" s="7">
        <f>COUNTIFS(Checklist!$B$2:$B$30,A7,Checklist!$E$2:$E$30,"Atende parcialmente")</f>
        <v>2</v>
      </c>
      <c r="E7" s="7">
        <f>COUNTIFS(Checklist!$B$2:$B$30,A7,Checklist!$E$2:$E$30,"Não atende")</f>
        <v>1</v>
      </c>
      <c r="F7" s="11">
        <f>IF(B7=0,"",SUMIF(Checklist!$B$2:$B$30,A7,Checklist!$F$2:$F$30)/B7)</f>
        <v>0.33333333333333331</v>
      </c>
    </row>
    <row r="8" spans="1:6" x14ac:dyDescent="0.25">
      <c r="A8" s="10" t="s">
        <v>148</v>
      </c>
      <c r="B8" s="7">
        <f>COUNTIFS(Checklist!$B$2:$B$30,A8,Checklist!$E$2:$E$30,"&lt;&gt;Não se aplica",Checklist!$E$2:$E$30,"&lt;&gt;")</f>
        <v>3</v>
      </c>
      <c r="C8" s="7">
        <f>COUNTIFS(Checklist!$B$2:$B$30,A8,Checklist!$E$2:$E$30,"Atende")</f>
        <v>0</v>
      </c>
      <c r="D8" s="7">
        <f>COUNTIFS(Checklist!$B$2:$B$30,A8,Checklist!$E$2:$E$30,"Atende parcialmente")</f>
        <v>0</v>
      </c>
      <c r="E8" s="7">
        <f>COUNTIFS(Checklist!$B$2:$B$30,A8,Checklist!$E$2:$E$30,"Não atende")</f>
        <v>3</v>
      </c>
      <c r="F8" s="11">
        <f>IF(B8=0,"",SUMIF(Checklist!$B$2:$B$30,A8,Checklist!$F$2:$F$30)/B8)</f>
        <v>0</v>
      </c>
    </row>
    <row r="9" spans="1:6" x14ac:dyDescent="0.25">
      <c r="A9" s="10" t="s">
        <v>162</v>
      </c>
      <c r="B9" s="7">
        <f>COUNTIFS(Checklist!$B$2:$B$30,A9,Checklist!$E$2:$E$30,"&lt;&gt;Não se aplica",Checklist!$E$2:$E$30,"&lt;&gt;")</f>
        <v>2</v>
      </c>
      <c r="C9" s="7">
        <f>COUNTIFS(Checklist!$B$2:$B$30,A9,Checklist!$E$2:$E$30,"Atende")</f>
        <v>0</v>
      </c>
      <c r="D9" s="7">
        <f>COUNTIFS(Checklist!$B$2:$B$30,A9,Checklist!$E$2:$E$30,"Atende parcialmente")</f>
        <v>1</v>
      </c>
      <c r="E9" s="7">
        <f>COUNTIFS(Checklist!$B$2:$B$30,A9,Checklist!$E$2:$E$30,"Não atende")</f>
        <v>1</v>
      </c>
      <c r="F9" s="11">
        <f>IF(B9=0,"",SUMIF(Checklist!$B$2:$B$30,A9,Checklist!$F$2:$F$30)/B9)</f>
        <v>0.25</v>
      </c>
    </row>
    <row r="10" spans="1:6" x14ac:dyDescent="0.25">
      <c r="A10" s="10" t="s">
        <v>173</v>
      </c>
      <c r="B10" s="7">
        <f>COUNTIFS(Checklist!$B$2:$B$30,A10,Checklist!$E$2:$E$30,"&lt;&gt;Não se aplica",Checklist!$E$2:$E$30,"&lt;&gt;")</f>
        <v>3</v>
      </c>
      <c r="C10" s="7">
        <f>COUNTIFS(Checklist!$B$2:$B$30,A10,Checklist!$E$2:$E$30,"Atende")</f>
        <v>1</v>
      </c>
      <c r="D10" s="7">
        <f>COUNTIFS(Checklist!$B$2:$B$30,A10,Checklist!$E$2:$E$30,"Atende parcialmente")</f>
        <v>0</v>
      </c>
      <c r="E10" s="7">
        <f>COUNTIFS(Checklist!$B$2:$B$30,A10,Checklist!$E$2:$E$30,"Não atende")</f>
        <v>2</v>
      </c>
      <c r="F10" s="11">
        <f>IF(B10=0,"",SUMIF(Checklist!$B$2:$B$30,A10,Checklist!$F$2:$F$30)/B10)</f>
        <v>0.33333333333333331</v>
      </c>
    </row>
    <row r="11" spans="1:6" x14ac:dyDescent="0.25">
      <c r="A11" s="12" t="s">
        <v>192</v>
      </c>
      <c r="B11" s="13">
        <f>SUM(B2:B10)</f>
        <v>29</v>
      </c>
      <c r="C11" s="13">
        <f>SUM(C2:C10)</f>
        <v>2</v>
      </c>
      <c r="D11" s="13">
        <f>SUM(D2:D10)</f>
        <v>11</v>
      </c>
      <c r="E11" s="13">
        <f>SUM(E2:E10)</f>
        <v>16</v>
      </c>
      <c r="F11" s="14">
        <f>IF(B11=0,"",SUM(Checklist!$F$2:$F$30)/B11)</f>
        <v>0.25862068965517243</v>
      </c>
    </row>
    <row r="13" spans="1:6" x14ac:dyDescent="0.25">
      <c r="A13" s="15" t="s">
        <v>193</v>
      </c>
    </row>
    <row r="14" spans="1:6" x14ac:dyDescent="0.25">
      <c r="A14" s="15" t="s">
        <v>194</v>
      </c>
    </row>
  </sheetData>
  <conditionalFormatting sqref="F2:F11">
    <cfRule type="cellIs" dxfId="2" priority="2" operator="lessThan">
      <formula>0.4</formula>
    </cfRule>
    <cfRule type="cellIs" dxfId="1" priority="3" operator="between">
      <formula>0.4</formula>
      <formula>0.6999</formula>
    </cfRule>
    <cfRule type="cellIs" dxfId="0" priority="4" operator="greaterThanOrEqual">
      <formula>0.7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Checklist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Victoria Andraus Canoilas Castro</cp:lastModifiedBy>
  <cp:revision>0</cp:revision>
  <dcterms:created xsi:type="dcterms:W3CDTF">2026-10-14T03:30:30Z</dcterms:created>
  <dcterms:modified xsi:type="dcterms:W3CDTF">2026-10-14T03:36:17Z</dcterms:modified>
  <dc:language>en-US</dc:language>
</cp:coreProperties>
</file>